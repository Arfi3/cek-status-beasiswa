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A867C2D-82EC-4A06-AD59-EDE95A307F9C}" xr6:coauthVersionLast="47" xr6:coauthVersionMax="47" xr10:uidLastSave="{00000000-0000-0000-0000-000000000000}"/>
  <bookViews>
    <workbookView xWindow="-108" yWindow="-108" windowWidth="23256" windowHeight="13896" activeTab="3" xr2:uid="{05190DDB-C23E-4C46-BB3A-E410422A0166}"/>
  </bookViews>
  <sheets>
    <sheet name="Sheet4" sheetId="4" r:id="rId1"/>
    <sheet name="Data Status Pendaftar" sheetId="1" r:id="rId2"/>
    <sheet name="Data Mahasiswa Eligible" sheetId="3" r:id="rId3"/>
    <sheet name="Data Mahasisw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1" i="4" l="1"/>
  <c r="B13" i="4" s="1"/>
  <c r="C10" i="4"/>
  <c r="C9" i="4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/>
  <c r="J14" i="1" a="1"/>
  <c r="J14" i="1" s="1"/>
  <c r="J15" i="1" a="1"/>
  <c r="J15" i="1"/>
  <c r="J16" i="1" a="1"/>
  <c r="J16" i="1" s="1"/>
  <c r="J17" i="1" a="1"/>
  <c r="J17" i="1"/>
  <c r="J18" i="1" a="1"/>
  <c r="J18" i="1"/>
  <c r="J19" i="1" a="1"/>
  <c r="J19" i="1" s="1"/>
  <c r="J20" i="1" a="1"/>
  <c r="J20" i="1" s="1"/>
  <c r="J21" i="1" a="1"/>
  <c r="J21" i="1" s="1"/>
  <c r="J22" i="1" a="1"/>
  <c r="J22" i="1"/>
  <c r="J23" i="1" a="1"/>
  <c r="J23" i="1"/>
  <c r="J24" i="1" a="1"/>
  <c r="J24" i="1" s="1"/>
  <c r="J25" i="1" a="1"/>
  <c r="J25" i="1"/>
  <c r="J26" i="1" a="1"/>
  <c r="J26" i="1"/>
  <c r="J27" i="1" a="1"/>
  <c r="J27" i="1" s="1"/>
  <c r="J28" i="1" a="1"/>
  <c r="J28" i="1" s="1"/>
  <c r="J29" i="1" a="1"/>
  <c r="J29" i="1" s="1"/>
  <c r="J30" i="1" a="1"/>
  <c r="J30" i="1"/>
  <c r="J31" i="1" a="1"/>
  <c r="J31" i="1"/>
  <c r="J32" i="1" a="1"/>
  <c r="J32" i="1" s="1"/>
  <c r="J33" i="1" a="1"/>
  <c r="J33" i="1"/>
  <c r="J34" i="1" a="1"/>
  <c r="J34" i="1"/>
  <c r="J35" i="1" a="1"/>
  <c r="J35" i="1" s="1"/>
  <c r="J36" i="1" a="1"/>
  <c r="J36" i="1" s="1"/>
  <c r="J37" i="1" a="1"/>
  <c r="J37" i="1"/>
  <c r="J38" i="1" a="1"/>
  <c r="J38" i="1" s="1"/>
  <c r="J39" i="1" a="1"/>
  <c r="J39" i="1"/>
  <c r="J40" i="1" a="1"/>
  <c r="J40" i="1" s="1"/>
  <c r="J41" i="1" a="1"/>
  <c r="J41" i="1"/>
  <c r="J42" i="1" a="1"/>
  <c r="J42" i="1"/>
  <c r="J43" i="1" a="1"/>
  <c r="J43" i="1" s="1"/>
  <c r="J44" i="1" a="1"/>
  <c r="J44" i="1" s="1"/>
  <c r="J45" i="1" a="1"/>
  <c r="J45" i="1"/>
  <c r="J46" i="1" a="1"/>
  <c r="J46" i="1" s="1"/>
  <c r="J47" i="1" a="1"/>
  <c r="J47" i="1"/>
  <c r="J48" i="1" a="1"/>
  <c r="J48" i="1" s="1"/>
  <c r="J49" i="1" a="1"/>
  <c r="J49" i="1"/>
  <c r="J50" i="1" a="1"/>
  <c r="J50" i="1" s="1"/>
  <c r="J51" i="1" a="1"/>
  <c r="J51" i="1" s="1"/>
  <c r="J52" i="1" a="1"/>
  <c r="J52" i="1" s="1"/>
  <c r="J53" i="1" a="1"/>
  <c r="J53" i="1"/>
  <c r="J54" i="1" a="1"/>
  <c r="J54" i="1"/>
  <c r="J55" i="1" a="1"/>
  <c r="J55" i="1" s="1"/>
  <c r="J56" i="1" a="1"/>
  <c r="J56" i="1" s="1"/>
  <c r="J57" i="1" a="1"/>
  <c r="J57" i="1"/>
  <c r="J58" i="1" a="1"/>
  <c r="J58" i="1"/>
  <c r="J59" i="1" a="1"/>
  <c r="J59" i="1" s="1"/>
  <c r="J60" i="1" a="1"/>
  <c r="J60" i="1" s="1"/>
  <c r="J61" i="1" a="1"/>
  <c r="J61" i="1"/>
  <c r="J62" i="1" a="1"/>
  <c r="J62" i="1"/>
  <c r="J63" i="1" a="1"/>
  <c r="J63" i="1" s="1"/>
  <c r="J64" i="1" a="1"/>
  <c r="J64" i="1" s="1"/>
  <c r="J65" i="1" a="1"/>
  <c r="J65" i="1" s="1"/>
  <c r="J66" i="1" a="1"/>
  <c r="J66" i="1"/>
  <c r="J67" i="1" a="1"/>
  <c r="J67" i="1" s="1"/>
  <c r="J68" i="1" a="1"/>
  <c r="J68" i="1" s="1"/>
  <c r="J69" i="1" a="1"/>
  <c r="J69" i="1"/>
  <c r="J70" i="1" a="1"/>
  <c r="J70" i="1" s="1"/>
  <c r="J71" i="1" a="1"/>
  <c r="J71" i="1"/>
  <c r="J72" i="1" a="1"/>
  <c r="J72" i="1" s="1"/>
  <c r="J73" i="1" a="1"/>
  <c r="J73" i="1" s="1"/>
  <c r="J74" i="1" a="1"/>
  <c r="J74" i="1"/>
  <c r="J75" i="1" a="1"/>
  <c r="J75" i="1" s="1"/>
  <c r="J76" i="1" a="1"/>
  <c r="J76" i="1" s="1"/>
  <c r="J77" i="1" a="1"/>
  <c r="J77" i="1" s="1"/>
  <c r="J78" i="1" a="1"/>
  <c r="J78" i="1" s="1"/>
  <c r="J79" i="1" a="1"/>
  <c r="J79" i="1"/>
  <c r="J80" i="1" a="1"/>
  <c r="J80" i="1" s="1"/>
  <c r="J81" i="1" a="1"/>
  <c r="J81" i="1"/>
  <c r="J82" i="1" a="1"/>
  <c r="J82" i="1"/>
  <c r="J83" i="1" a="1"/>
  <c r="J83" i="1" s="1"/>
  <c r="J84" i="1" a="1"/>
  <c r="J84" i="1" s="1"/>
  <c r="J85" i="1" a="1"/>
  <c r="J85" i="1" s="1"/>
  <c r="J86" i="1" a="1"/>
  <c r="J86" i="1"/>
  <c r="J87" i="1" a="1"/>
  <c r="J87" i="1" s="1"/>
  <c r="J88" i="1" a="1"/>
  <c r="J88" i="1" s="1"/>
  <c r="J89" i="1" a="1"/>
  <c r="J89" i="1"/>
  <c r="J90" i="1" a="1"/>
  <c r="J90" i="1"/>
  <c r="J91" i="1" a="1"/>
  <c r="J91" i="1" s="1"/>
  <c r="J92" i="1" a="1"/>
  <c r="J92" i="1" s="1"/>
  <c r="J93" i="1" a="1"/>
  <c r="J93" i="1" s="1"/>
  <c r="J94" i="1" a="1"/>
  <c r="J94" i="1"/>
  <c r="J95" i="1" a="1"/>
  <c r="J95" i="1" s="1"/>
  <c r="J96" i="1" a="1"/>
  <c r="J96" i="1" s="1"/>
  <c r="J97" i="1" a="1"/>
  <c r="J97" i="1" s="1"/>
  <c r="J98" i="1" a="1"/>
  <c r="J98" i="1"/>
  <c r="J99" i="1" a="1"/>
  <c r="J99" i="1" s="1"/>
  <c r="J100" i="1" a="1"/>
  <c r="J100" i="1" s="1"/>
  <c r="J101" i="1" a="1"/>
  <c r="J101" i="1"/>
  <c r="J102" i="1" a="1"/>
  <c r="J102" i="1"/>
  <c r="J103" i="1" a="1"/>
  <c r="J103" i="1"/>
  <c r="J104" i="1" a="1"/>
  <c r="J104" i="1" s="1"/>
  <c r="J105" i="1" a="1"/>
  <c r="J105" i="1" s="1"/>
  <c r="J106" i="1" a="1"/>
  <c r="J106" i="1"/>
  <c r="J107" i="1" a="1"/>
  <c r="J107" i="1" s="1"/>
  <c r="J108" i="1" a="1"/>
  <c r="J108" i="1" s="1"/>
  <c r="J109" i="1" a="1"/>
  <c r="J109" i="1"/>
  <c r="J110" i="1" a="1"/>
  <c r="J110" i="1"/>
  <c r="J111" i="1" a="1"/>
  <c r="J111" i="1"/>
  <c r="J112" i="1" a="1"/>
  <c r="J112" i="1" s="1"/>
  <c r="J113" i="1" a="1"/>
  <c r="J113" i="1"/>
  <c r="J114" i="1" a="1"/>
  <c r="J114" i="1" s="1"/>
  <c r="J115" i="1" a="1"/>
  <c r="J115" i="1" s="1"/>
  <c r="J116" i="1" a="1"/>
  <c r="J116" i="1" s="1"/>
  <c r="J117" i="1" a="1"/>
  <c r="J117" i="1" s="1"/>
  <c r="J118" i="1" a="1"/>
  <c r="J118" i="1"/>
  <c r="J119" i="1" a="1"/>
  <c r="J119" i="1" s="1"/>
  <c r="J120" i="1" a="1"/>
  <c r="J120" i="1" s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/>
  <c r="J127" i="1" a="1"/>
  <c r="J127" i="1"/>
  <c r="J128" i="1" a="1"/>
  <c r="J128" i="1" s="1"/>
  <c r="J129" i="1" a="1"/>
  <c r="J129" i="1" s="1"/>
  <c r="J130" i="1" a="1"/>
  <c r="J130" i="1"/>
  <c r="J131" i="1" a="1"/>
  <c r="J131" i="1" s="1"/>
  <c r="J132" i="1" a="1"/>
  <c r="J132" i="1" s="1"/>
  <c r="J133" i="1" a="1"/>
  <c r="J133" i="1"/>
  <c r="J134" i="1" a="1"/>
  <c r="J134" i="1" s="1"/>
  <c r="J135" i="1" a="1"/>
  <c r="J135" i="1"/>
  <c r="J136" i="1" a="1"/>
  <c r="J136" i="1" s="1"/>
  <c r="J137" i="1" a="1"/>
  <c r="J137" i="1" s="1"/>
  <c r="J138" i="1" a="1"/>
  <c r="J138" i="1"/>
  <c r="J139" i="1" a="1"/>
  <c r="J139" i="1" s="1"/>
  <c r="J140" i="1" a="1"/>
  <c r="J140" i="1" s="1"/>
  <c r="J141" i="1" a="1"/>
  <c r="J141" i="1"/>
  <c r="J142" i="1" a="1"/>
  <c r="J142" i="1" s="1"/>
  <c r="J143" i="1" a="1"/>
  <c r="J143" i="1"/>
  <c r="J144" i="1" a="1"/>
  <c r="J144" i="1" s="1"/>
  <c r="J145" i="1" a="1"/>
  <c r="J145" i="1"/>
  <c r="J146" i="1" a="1"/>
  <c r="J146" i="1" s="1"/>
  <c r="J147" i="1" a="1"/>
  <c r="J147" i="1" s="1"/>
  <c r="J148" i="1" a="1"/>
  <c r="J148" i="1" s="1"/>
  <c r="J149" i="1" a="1"/>
  <c r="J149" i="1" s="1"/>
  <c r="J150" i="1" a="1"/>
  <c r="J150" i="1"/>
  <c r="J151" i="1" a="1"/>
  <c r="J151" i="1"/>
  <c r="J152" i="1" a="1"/>
  <c r="J152" i="1" s="1"/>
  <c r="J153" i="1" a="1"/>
  <c r="J153" i="1"/>
  <c r="J154" i="1" a="1"/>
  <c r="J154" i="1" s="1"/>
  <c r="J155" i="1" a="1"/>
  <c r="J155" i="1" s="1"/>
  <c r="J156" i="1" a="1"/>
  <c r="J156" i="1" s="1"/>
  <c r="J157" i="1" a="1"/>
  <c r="J157" i="1"/>
  <c r="J158" i="1" a="1"/>
  <c r="J158" i="1"/>
  <c r="J159" i="1" a="1"/>
  <c r="J159" i="1"/>
  <c r="J160" i="1" a="1"/>
  <c r="J160" i="1" s="1"/>
  <c r="J161" i="1" a="1"/>
  <c r="J161" i="1"/>
  <c r="J162" i="1" a="1"/>
  <c r="J162" i="1"/>
  <c r="J163" i="1" a="1"/>
  <c r="J163" i="1" s="1"/>
  <c r="J164" i="1" a="1"/>
  <c r="J164" i="1" s="1"/>
  <c r="J165" i="1" a="1"/>
  <c r="J165" i="1"/>
  <c r="J166" i="1" a="1"/>
  <c r="J166" i="1" s="1"/>
  <c r="J167" i="1" a="1"/>
  <c r="J167" i="1"/>
  <c r="J168" i="1" a="1"/>
  <c r="J168" i="1" s="1"/>
  <c r="J169" i="1" a="1"/>
  <c r="J169" i="1"/>
  <c r="J170" i="1" a="1"/>
  <c r="J170" i="1"/>
  <c r="J171" i="1" a="1"/>
  <c r="J171" i="1" s="1"/>
  <c r="J172" i="1" a="1"/>
  <c r="J172" i="1" s="1"/>
  <c r="J173" i="1" a="1"/>
  <c r="J173" i="1"/>
  <c r="J174" i="1" a="1"/>
  <c r="J174" i="1" s="1"/>
  <c r="J175" i="1" a="1"/>
  <c r="J175" i="1"/>
  <c r="J176" i="1" a="1"/>
  <c r="J176" i="1" s="1"/>
  <c r="J177" i="1" a="1"/>
  <c r="J177" i="1"/>
  <c r="J178" i="1" a="1"/>
  <c r="J178" i="1" s="1"/>
  <c r="J179" i="1" a="1"/>
  <c r="J179" i="1" s="1"/>
  <c r="J180" i="1" a="1"/>
  <c r="J180" i="1" s="1"/>
  <c r="J181" i="1" a="1"/>
  <c r="J181" i="1"/>
  <c r="J182" i="1" a="1"/>
  <c r="J182" i="1"/>
  <c r="J183" i="1" a="1"/>
  <c r="J183" i="1" s="1"/>
  <c r="J184" i="1" a="1"/>
  <c r="J184" i="1" s="1"/>
  <c r="J185" i="1" a="1"/>
  <c r="J185" i="1"/>
  <c r="J186" i="1" a="1"/>
  <c r="J186" i="1"/>
  <c r="J187" i="1" a="1"/>
  <c r="J187" i="1" s="1"/>
  <c r="J188" i="1" a="1"/>
  <c r="J188" i="1" s="1"/>
  <c r="J189" i="1" a="1"/>
  <c r="J189" i="1"/>
  <c r="J190" i="1" a="1"/>
  <c r="J190" i="1"/>
  <c r="J191" i="1" a="1"/>
  <c r="J191" i="1" s="1"/>
  <c r="J192" i="1" a="1"/>
  <c r="J192" i="1" s="1"/>
  <c r="J193" i="1" a="1"/>
  <c r="J193" i="1" s="1"/>
  <c r="J194" i="1" a="1"/>
  <c r="J194" i="1"/>
  <c r="J195" i="1" a="1"/>
  <c r="J195" i="1" s="1"/>
  <c r="J196" i="1" a="1"/>
  <c r="J196" i="1" s="1"/>
  <c r="J197" i="1" a="1"/>
  <c r="J197" i="1"/>
  <c r="J198" i="1" a="1"/>
  <c r="J198" i="1" s="1"/>
  <c r="J199" i="1" a="1"/>
  <c r="J199" i="1"/>
  <c r="J200" i="1" a="1"/>
  <c r="J200" i="1" s="1"/>
  <c r="J201" i="1" a="1"/>
  <c r="J201" i="1" s="1"/>
  <c r="J202" i="1" a="1"/>
  <c r="J202" i="1"/>
  <c r="J203" i="1" a="1"/>
  <c r="J203" i="1" s="1"/>
  <c r="J204" i="1" a="1"/>
  <c r="J204" i="1" s="1"/>
  <c r="J205" i="1" a="1"/>
  <c r="J205" i="1"/>
  <c r="J206" i="1" a="1"/>
  <c r="J206" i="1" s="1"/>
  <c r="J207" i="1" a="1"/>
  <c r="J207" i="1"/>
  <c r="J208" i="1" a="1"/>
  <c r="J208" i="1" s="1"/>
  <c r="J209" i="1" a="1"/>
  <c r="J209" i="1"/>
  <c r="J210" i="1" a="1"/>
  <c r="J210" i="1"/>
  <c r="J211" i="1" a="1"/>
  <c r="J211" i="1" s="1"/>
  <c r="J212" i="1" a="1"/>
  <c r="J212" i="1" s="1"/>
  <c r="J213" i="1" a="1"/>
  <c r="J213" i="1" s="1"/>
  <c r="J214" i="1" a="1"/>
  <c r="J214" i="1"/>
  <c r="J215" i="1" a="1"/>
  <c r="J215" i="1" s="1"/>
  <c r="J216" i="1" a="1"/>
  <c r="J216" i="1" s="1"/>
  <c r="J217" i="1" a="1"/>
  <c r="J217" i="1"/>
  <c r="J218" i="1" a="1"/>
  <c r="J218" i="1"/>
  <c r="J219" i="1" a="1"/>
  <c r="J219" i="1" s="1"/>
  <c r="J220" i="1" a="1"/>
  <c r="J220" i="1" s="1"/>
  <c r="J221" i="1" a="1"/>
  <c r="J221" i="1" s="1"/>
  <c r="J222" i="1" a="1"/>
  <c r="J222" i="1"/>
  <c r="J223" i="1" a="1"/>
  <c r="J223" i="1" s="1"/>
  <c r="J224" i="1" a="1"/>
  <c r="J224" i="1" s="1"/>
  <c r="J225" i="1" a="1"/>
  <c r="J225" i="1" s="1"/>
  <c r="J226" i="1" a="1"/>
  <c r="J226" i="1"/>
  <c r="J227" i="1" a="1"/>
  <c r="J227" i="1" s="1"/>
  <c r="J228" i="1" a="1"/>
  <c r="J228" i="1" s="1"/>
  <c r="J229" i="1" a="1"/>
  <c r="J229" i="1"/>
  <c r="J230" i="1" a="1"/>
  <c r="J230" i="1"/>
  <c r="J231" i="1" a="1"/>
  <c r="J231" i="1"/>
  <c r="J232" i="1" a="1"/>
  <c r="J232" i="1" s="1"/>
  <c r="J233" i="1" a="1"/>
  <c r="J233" i="1" s="1"/>
  <c r="J234" i="1" a="1"/>
  <c r="J234" i="1"/>
  <c r="J235" i="1" a="1"/>
  <c r="J235" i="1" s="1"/>
  <c r="J236" i="1" a="1"/>
  <c r="J236" i="1" s="1"/>
  <c r="J237" i="1" a="1"/>
  <c r="J237" i="1"/>
  <c r="J238" i="1" a="1"/>
  <c r="J238" i="1"/>
  <c r="J239" i="1" a="1"/>
  <c r="J239" i="1"/>
  <c r="J240" i="1" a="1"/>
  <c r="J240" i="1" s="1"/>
  <c r="J241" i="1" a="1"/>
  <c r="J241" i="1"/>
  <c r="J242" i="1" a="1"/>
  <c r="J242" i="1" s="1"/>
  <c r="J243" i="1" a="1"/>
  <c r="J243" i="1" s="1"/>
  <c r="J244" i="1" a="1"/>
  <c r="J244" i="1" s="1"/>
  <c r="J245" i="1" a="1"/>
  <c r="J245" i="1" s="1"/>
  <c r="J246" i="1" a="1"/>
  <c r="J246" i="1"/>
  <c r="J247" i="1" a="1"/>
  <c r="J247" i="1" s="1"/>
  <c r="J248" i="1" a="1"/>
  <c r="J248" i="1" s="1"/>
  <c r="J249" i="1" a="1"/>
  <c r="J249" i="1"/>
  <c r="J250" i="1" a="1"/>
  <c r="J250" i="1" s="1"/>
  <c r="J251" i="1" a="1"/>
  <c r="J251" i="1" s="1"/>
  <c r="J252" i="1" a="1"/>
  <c r="J252" i="1" s="1"/>
  <c r="J253" i="1" a="1"/>
  <c r="J253" i="1" s="1"/>
  <c r="J254" i="1" a="1"/>
  <c r="J254" i="1"/>
  <c r="J255" i="1" a="1"/>
  <c r="J255" i="1"/>
  <c r="J256" i="1" a="1"/>
  <c r="J256" i="1" s="1"/>
  <c r="J257" i="1" a="1"/>
  <c r="J257" i="1" s="1"/>
  <c r="J258" i="1" a="1"/>
  <c r="J258" i="1"/>
  <c r="J259" i="1" a="1"/>
  <c r="J259" i="1" s="1"/>
  <c r="J260" i="1" a="1"/>
  <c r="J260" i="1" s="1"/>
  <c r="J261" i="1" a="1"/>
  <c r="J261" i="1"/>
  <c r="J262" i="1" a="1"/>
  <c r="J262" i="1" s="1"/>
  <c r="J263" i="1" a="1"/>
  <c r="J263" i="1"/>
  <c r="J264" i="1" a="1"/>
  <c r="J264" i="1" s="1"/>
  <c r="J265" i="1" a="1"/>
  <c r="J265" i="1" s="1"/>
  <c r="J266" i="1" a="1"/>
  <c r="J266" i="1"/>
  <c r="J267" i="1" a="1"/>
  <c r="J267" i="1" s="1"/>
  <c r="J268" i="1" a="1"/>
  <c r="J268" i="1" s="1"/>
  <c r="J269" i="1" a="1"/>
  <c r="J269" i="1"/>
  <c r="J270" i="1" a="1"/>
  <c r="J270" i="1" s="1"/>
  <c r="J271" i="1" a="1"/>
  <c r="J271" i="1"/>
  <c r="J272" i="1" a="1"/>
  <c r="J272" i="1" s="1"/>
  <c r="J273" i="1" a="1"/>
  <c r="J273" i="1"/>
  <c r="J274" i="1" a="1"/>
  <c r="J274" i="1" s="1"/>
  <c r="J275" i="1" a="1"/>
  <c r="J275" i="1" s="1"/>
  <c r="J276" i="1" a="1"/>
  <c r="J276" i="1" s="1"/>
  <c r="J277" i="1" a="1"/>
  <c r="J277" i="1" s="1"/>
  <c r="J278" i="1" a="1"/>
  <c r="J278" i="1"/>
  <c r="J279" i="1" a="1"/>
  <c r="J279" i="1"/>
  <c r="J280" i="1" a="1"/>
  <c r="J280" i="1" s="1"/>
  <c r="J281" i="1" a="1"/>
  <c r="J281" i="1"/>
  <c r="J282" i="1" a="1"/>
  <c r="J282" i="1" s="1"/>
  <c r="J283" i="1" a="1"/>
  <c r="J283" i="1" s="1"/>
  <c r="J284" i="1" a="1"/>
  <c r="J284" i="1" s="1"/>
  <c r="J285" i="1" a="1"/>
  <c r="J285" i="1"/>
  <c r="J286" i="1" a="1"/>
  <c r="J286" i="1"/>
  <c r="J287" i="1" a="1"/>
  <c r="J287" i="1"/>
  <c r="J288" i="1" a="1"/>
  <c r="J288" i="1" s="1"/>
  <c r="J289" i="1" a="1"/>
  <c r="J289" i="1"/>
  <c r="J290" i="1" a="1"/>
  <c r="J290" i="1"/>
  <c r="J291" i="1" a="1"/>
  <c r="J291" i="1" s="1"/>
  <c r="J292" i="1" a="1"/>
  <c r="J292" i="1" s="1"/>
  <c r="J293" i="1" a="1"/>
  <c r="J293" i="1"/>
  <c r="J294" i="1" a="1"/>
  <c r="J294" i="1" s="1"/>
  <c r="J295" i="1" a="1"/>
  <c r="J295" i="1"/>
  <c r="J296" i="1" a="1"/>
  <c r="J296" i="1" s="1"/>
  <c r="J297" i="1" a="1"/>
  <c r="J297" i="1"/>
  <c r="J298" i="1" a="1"/>
  <c r="J298" i="1"/>
  <c r="J299" i="1" a="1"/>
  <c r="J299" i="1" s="1"/>
  <c r="J300" i="1" a="1"/>
  <c r="J300" i="1" s="1"/>
  <c r="J301" i="1" a="1"/>
  <c r="J301" i="1"/>
  <c r="J302" i="1" a="1"/>
  <c r="J302" i="1" s="1"/>
  <c r="J303" i="1" a="1"/>
  <c r="J303" i="1"/>
  <c r="J304" i="1" a="1"/>
  <c r="J304" i="1" s="1"/>
  <c r="J305" i="1" a="1"/>
  <c r="J305" i="1"/>
  <c r="J306" i="1" a="1"/>
  <c r="J306" i="1" s="1"/>
  <c r="J307" i="1" a="1"/>
  <c r="J307" i="1" s="1"/>
  <c r="J308" i="1" a="1"/>
  <c r="J308" i="1" s="1"/>
  <c r="J309" i="1" a="1"/>
  <c r="J309" i="1"/>
  <c r="J310" i="1" a="1"/>
  <c r="J310" i="1"/>
  <c r="J311" i="1" a="1"/>
  <c r="J311" i="1" s="1"/>
  <c r="J312" i="1" a="1"/>
  <c r="J312" i="1" s="1"/>
  <c r="J313" i="1" a="1"/>
  <c r="J313" i="1"/>
  <c r="J314" i="1" a="1"/>
  <c r="J314" i="1"/>
  <c r="J315" i="1" a="1"/>
  <c r="J315" i="1" s="1"/>
  <c r="J316" i="1" a="1"/>
  <c r="J316" i="1" s="1"/>
  <c r="J317" i="1" a="1"/>
  <c r="J317" i="1"/>
  <c r="J318" i="1" a="1"/>
  <c r="J318" i="1"/>
  <c r="J319" i="1" a="1"/>
  <c r="J319" i="1" s="1"/>
  <c r="J320" i="1" a="1"/>
  <c r="J320" i="1" s="1"/>
  <c r="J321" i="1" a="1"/>
  <c r="J321" i="1" s="1"/>
  <c r="J322" i="1" a="1"/>
  <c r="J322" i="1"/>
  <c r="J323" i="1" a="1"/>
  <c r="J323" i="1" s="1"/>
  <c r="J324" i="1" a="1"/>
  <c r="J324" i="1" s="1"/>
  <c r="J325" i="1" a="1"/>
  <c r="J325" i="1"/>
  <c r="J326" i="1" a="1"/>
  <c r="J326" i="1" s="1"/>
  <c r="J327" i="1" a="1"/>
  <c r="J327" i="1"/>
  <c r="J328" i="1" a="1"/>
  <c r="J328" i="1" s="1"/>
  <c r="J329" i="1" a="1"/>
  <c r="J329" i="1" s="1"/>
  <c r="J330" i="1" a="1"/>
  <c r="J330" i="1"/>
  <c r="J331" i="1" a="1"/>
  <c r="J331" i="1" s="1"/>
  <c r="J332" i="1" a="1"/>
  <c r="J332" i="1" s="1"/>
  <c r="J333" i="1" a="1"/>
  <c r="J333" i="1"/>
  <c r="J334" i="1" a="1"/>
  <c r="J334" i="1" s="1"/>
  <c r="J335" i="1" a="1"/>
  <c r="J335" i="1"/>
  <c r="J336" i="1" a="1"/>
  <c r="J336" i="1" s="1"/>
  <c r="J337" i="1" a="1"/>
  <c r="J337" i="1"/>
  <c r="J338" i="1" a="1"/>
  <c r="J338" i="1"/>
  <c r="J339" i="1" a="1"/>
  <c r="J339" i="1" s="1"/>
  <c r="J340" i="1" a="1"/>
  <c r="J340" i="1" s="1"/>
  <c r="J341" i="1" a="1"/>
  <c r="J341" i="1" s="1"/>
  <c r="J342" i="1" a="1"/>
  <c r="J342" i="1"/>
  <c r="J343" i="1" a="1"/>
  <c r="J343" i="1" s="1"/>
  <c r="J344" i="1" a="1"/>
  <c r="J344" i="1" s="1"/>
  <c r="J345" i="1" a="1"/>
  <c r="J345" i="1"/>
  <c r="J346" i="1" a="1"/>
  <c r="J346" i="1"/>
  <c r="J347" i="1" a="1"/>
  <c r="J347" i="1" s="1"/>
  <c r="J348" i="1" a="1"/>
  <c r="J348" i="1" s="1"/>
  <c r="J349" i="1" a="1"/>
  <c r="J349" i="1" s="1"/>
  <c r="J350" i="1" a="1"/>
  <c r="J350" i="1"/>
  <c r="J351" i="1" a="1"/>
  <c r="J351" i="1" s="1"/>
  <c r="J352" i="1" a="1"/>
  <c r="J352" i="1" s="1"/>
  <c r="J353" i="1" a="1"/>
  <c r="J353" i="1" s="1"/>
  <c r="J354" i="1" a="1"/>
  <c r="J354" i="1"/>
  <c r="J355" i="1" a="1"/>
  <c r="J355" i="1" s="1"/>
  <c r="J356" i="1" a="1"/>
  <c r="J356" i="1" s="1"/>
  <c r="J357" i="1" a="1"/>
  <c r="J357" i="1"/>
  <c r="J358" i="1" a="1"/>
  <c r="J358" i="1"/>
  <c r="J359" i="1" a="1"/>
  <c r="J359" i="1"/>
  <c r="J360" i="1" a="1"/>
  <c r="J360" i="1" s="1"/>
  <c r="J361" i="1" a="1"/>
  <c r="J361" i="1" s="1"/>
  <c r="J362" i="1" a="1"/>
  <c r="J362" i="1"/>
  <c r="J363" i="1" a="1"/>
  <c r="J363" i="1" s="1"/>
  <c r="J364" i="1" a="1"/>
  <c r="J364" i="1" s="1"/>
  <c r="J365" i="1" a="1"/>
  <c r="J365" i="1"/>
  <c r="J366" i="1" a="1"/>
  <c r="J366" i="1"/>
  <c r="J367" i="1" a="1"/>
  <c r="J367" i="1"/>
  <c r="J368" i="1" a="1"/>
  <c r="J368" i="1" s="1"/>
  <c r="J369" i="1" a="1"/>
  <c r="J369" i="1"/>
  <c r="J370" i="1" a="1"/>
  <c r="J370" i="1" s="1"/>
  <c r="J371" i="1" a="1"/>
  <c r="J371" i="1" s="1"/>
  <c r="J372" i="1" a="1"/>
  <c r="J372" i="1" s="1"/>
  <c r="J373" i="1" a="1"/>
  <c r="J373" i="1" s="1"/>
  <c r="J374" i="1" a="1"/>
  <c r="J374" i="1"/>
  <c r="J375" i="1" a="1"/>
  <c r="J375" i="1" s="1"/>
  <c r="J376" i="1" a="1"/>
  <c r="J376" i="1" s="1"/>
  <c r="J377" i="1" a="1"/>
  <c r="J377" i="1"/>
  <c r="J378" i="1" a="1"/>
  <c r="J378" i="1" s="1"/>
  <c r="J379" i="1" a="1"/>
  <c r="J379" i="1" s="1"/>
  <c r="J380" i="1" a="1"/>
  <c r="J380" i="1" s="1"/>
  <c r="J381" i="1" a="1"/>
  <c r="J381" i="1" s="1"/>
  <c r="J382" i="1" a="1"/>
  <c r="J382" i="1"/>
  <c r="J383" i="1" a="1"/>
  <c r="J383" i="1"/>
  <c r="J384" i="1" a="1"/>
  <c r="J384" i="1" s="1"/>
  <c r="J385" i="1" a="1"/>
  <c r="J385" i="1" s="1"/>
  <c r="J386" i="1" a="1"/>
  <c r="J386" i="1"/>
  <c r="J387" i="1" a="1"/>
  <c r="J387" i="1" s="1"/>
  <c r="J388" i="1" a="1"/>
  <c r="J388" i="1" s="1"/>
  <c r="J389" i="1" a="1"/>
  <c r="J389" i="1"/>
  <c r="J390" i="1" a="1"/>
  <c r="J390" i="1" s="1"/>
  <c r="J391" i="1" a="1"/>
  <c r="J391" i="1"/>
  <c r="J392" i="1" a="1"/>
  <c r="J392" i="1" s="1"/>
  <c r="J393" i="1" a="1"/>
  <c r="J393" i="1" s="1"/>
  <c r="J394" i="1" a="1"/>
  <c r="J394" i="1"/>
  <c r="J395" i="1" a="1"/>
  <c r="J395" i="1" s="1"/>
  <c r="J396" i="1" a="1"/>
  <c r="J396" i="1" s="1"/>
  <c r="J397" i="1" a="1"/>
  <c r="J397" i="1"/>
  <c r="J398" i="1" a="1"/>
  <c r="J398" i="1" s="1"/>
  <c r="J399" i="1" a="1"/>
  <c r="J399" i="1"/>
  <c r="J400" i="1" a="1"/>
  <c r="J400" i="1" s="1"/>
  <c r="J401" i="1" a="1"/>
  <c r="J401" i="1"/>
  <c r="J402" i="1" a="1"/>
  <c r="J402" i="1" s="1"/>
  <c r="J403" i="1" a="1"/>
  <c r="J403" i="1" s="1"/>
  <c r="J404" i="1" a="1"/>
  <c r="J404" i="1" s="1"/>
  <c r="J405" i="1" a="1"/>
  <c r="J405" i="1" s="1"/>
  <c r="J406" i="1" a="1"/>
  <c r="J406" i="1"/>
  <c r="J407" i="1" a="1"/>
  <c r="J407" i="1"/>
  <c r="J408" i="1" a="1"/>
  <c r="J408" i="1" s="1"/>
  <c r="J409" i="1" a="1"/>
  <c r="J409" i="1"/>
  <c r="J410" i="1" a="1"/>
  <c r="J410" i="1" s="1"/>
  <c r="J411" i="1" a="1"/>
  <c r="J411" i="1" s="1"/>
  <c r="J412" i="1" a="1"/>
  <c r="J412" i="1" s="1"/>
  <c r="J413" i="1" a="1"/>
  <c r="J413" i="1" s="1"/>
  <c r="J414" i="1" a="1"/>
  <c r="J414" i="1"/>
  <c r="J415" i="1" a="1"/>
  <c r="J415" i="1"/>
  <c r="J416" i="1" a="1"/>
  <c r="J416" i="1" s="1"/>
  <c r="J417" i="1" a="1"/>
  <c r="J417" i="1"/>
  <c r="J418" i="1" a="1"/>
  <c r="J418" i="1"/>
  <c r="J419" i="1" a="1"/>
  <c r="J419" i="1" s="1"/>
  <c r="J420" i="1" a="1"/>
  <c r="J420" i="1" s="1"/>
  <c r="J421" i="1" a="1"/>
  <c r="J421" i="1"/>
  <c r="J422" i="1" a="1"/>
  <c r="J422" i="1" s="1"/>
  <c r="J423" i="1" a="1"/>
  <c r="J423" i="1"/>
  <c r="J424" i="1" a="1"/>
  <c r="J424" i="1" s="1"/>
  <c r="J425" i="1" a="1"/>
  <c r="J425" i="1"/>
  <c r="J426" i="1" a="1"/>
  <c r="J426" i="1"/>
  <c r="J427" i="1" a="1"/>
  <c r="J427" i="1" s="1"/>
  <c r="J428" i="1" a="1"/>
  <c r="J428" i="1" s="1"/>
  <c r="J429" i="1" a="1"/>
  <c r="J429" i="1"/>
  <c r="J430" i="1" a="1"/>
  <c r="J430" i="1" s="1"/>
  <c r="J431" i="1" a="1"/>
  <c r="J431" i="1"/>
  <c r="J432" i="1" a="1"/>
  <c r="J432" i="1" s="1"/>
  <c r="J433" i="1" a="1"/>
  <c r="J433" i="1"/>
  <c r="J434" i="1" a="1"/>
  <c r="J434" i="1" s="1"/>
  <c r="J435" i="1" a="1"/>
  <c r="J435" i="1" s="1"/>
  <c r="J436" i="1" a="1"/>
  <c r="J436" i="1" s="1"/>
  <c r="J437" i="1" a="1"/>
  <c r="J437" i="1"/>
  <c r="J438" i="1" a="1"/>
  <c r="J438" i="1"/>
  <c r="J439" i="1" a="1"/>
  <c r="J439" i="1" s="1"/>
  <c r="J440" i="1" a="1"/>
  <c r="J440" i="1" s="1"/>
  <c r="J441" i="1" a="1"/>
  <c r="J441" i="1"/>
  <c r="J442" i="1" a="1"/>
  <c r="J442" i="1"/>
  <c r="J443" i="1" a="1"/>
  <c r="J443" i="1" s="1"/>
  <c r="J444" i="1" a="1"/>
  <c r="J444" i="1" s="1"/>
  <c r="J445" i="1" a="1"/>
  <c r="J445" i="1"/>
  <c r="J446" i="1" a="1"/>
  <c r="J446" i="1"/>
  <c r="J447" i="1" a="1"/>
  <c r="J447" i="1" s="1"/>
  <c r="J448" i="1" a="1"/>
  <c r="J448" i="1" s="1"/>
  <c r="J449" i="1" a="1"/>
  <c r="J449" i="1" s="1"/>
  <c r="J450" i="1" a="1"/>
  <c r="J450" i="1"/>
  <c r="J451" i="1" a="1"/>
  <c r="J451" i="1" s="1"/>
  <c r="J452" i="1" a="1"/>
  <c r="J452" i="1" s="1"/>
  <c r="J453" i="1" a="1"/>
  <c r="J453" i="1"/>
  <c r="J454" i="1" a="1"/>
  <c r="J454" i="1" s="1"/>
  <c r="J455" i="1" a="1"/>
  <c r="J455" i="1"/>
  <c r="J456" i="1" a="1"/>
  <c r="J456" i="1" s="1"/>
  <c r="J457" i="1" a="1"/>
  <c r="J457" i="1" s="1"/>
  <c r="J458" i="1" a="1"/>
  <c r="J458" i="1"/>
  <c r="J459" i="1" a="1"/>
  <c r="J459" i="1" s="1"/>
  <c r="J460" i="1" a="1"/>
  <c r="J460" i="1" s="1"/>
  <c r="J461" i="1" a="1"/>
  <c r="J461" i="1"/>
  <c r="J462" i="1" a="1"/>
  <c r="J462" i="1" s="1"/>
  <c r="J463" i="1" a="1"/>
  <c r="J463" i="1"/>
  <c r="J464" i="1" a="1"/>
  <c r="J464" i="1" s="1"/>
  <c r="J465" i="1" a="1"/>
  <c r="J465" i="1"/>
  <c r="J466" i="1" a="1"/>
  <c r="J466" i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/>
  <c r="J474" i="1" a="1"/>
  <c r="J474" i="1"/>
  <c r="J475" i="1" a="1"/>
  <c r="J475" i="1" s="1"/>
  <c r="J476" i="1" a="1"/>
  <c r="J476" i="1" s="1"/>
  <c r="J477" i="1" a="1"/>
  <c r="J477" i="1" s="1"/>
  <c r="J478" i="1" a="1"/>
  <c r="J478" i="1"/>
  <c r="J479" i="1" a="1"/>
  <c r="J479" i="1" s="1"/>
  <c r="J480" i="1" a="1"/>
  <c r="J480" i="1" s="1"/>
  <c r="J481" i="1" a="1"/>
  <c r="J481" i="1" s="1"/>
  <c r="J482" i="1" a="1"/>
  <c r="J482" i="1"/>
  <c r="J483" i="1" a="1"/>
  <c r="J483" i="1" s="1"/>
  <c r="J484" i="1" a="1"/>
  <c r="J484" i="1" s="1"/>
  <c r="J485" i="1" a="1"/>
  <c r="J485" i="1"/>
  <c r="J486" i="1" a="1"/>
  <c r="J486" i="1"/>
  <c r="J487" i="1" a="1"/>
  <c r="J487" i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/>
  <c r="J494" i="1" a="1"/>
  <c r="J494" i="1"/>
  <c r="J495" i="1" a="1"/>
  <c r="J495" i="1"/>
  <c r="J496" i="1" a="1"/>
  <c r="J496" i="1" s="1"/>
  <c r="J497" i="1" a="1"/>
  <c r="J497" i="1"/>
  <c r="J498" i="1" a="1"/>
  <c r="J498" i="1" s="1"/>
  <c r="J499" i="1" a="1"/>
  <c r="J499" i="1" s="1"/>
  <c r="J500" i="1" a="1"/>
  <c r="J500" i="1" s="1"/>
  <c r="J501" i="1" a="1"/>
  <c r="J501" i="1" s="1"/>
  <c r="J502" i="1" a="1"/>
  <c r="J502" i="1"/>
  <c r="J503" i="1" a="1"/>
  <c r="J503" i="1" s="1"/>
  <c r="J504" i="1" a="1"/>
  <c r="J504" i="1" s="1"/>
  <c r="J505" i="1" a="1"/>
  <c r="J505" i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/>
  <c r="J512" i="1" a="1"/>
  <c r="J512" i="1" s="1"/>
  <c r="J513" i="1" a="1"/>
  <c r="J513" i="1" s="1"/>
  <c r="J514" i="1" a="1"/>
  <c r="J514" i="1"/>
  <c r="J515" i="1" a="1"/>
  <c r="J515" i="1" s="1"/>
  <c r="J516" i="1" a="1"/>
  <c r="J516" i="1" s="1"/>
  <c r="J517" i="1" a="1"/>
  <c r="J517" i="1"/>
  <c r="J518" i="1" a="1"/>
  <c r="J518" i="1" s="1"/>
  <c r="J519" i="1" a="1"/>
  <c r="J519" i="1"/>
  <c r="J520" i="1" a="1"/>
  <c r="J520" i="1" s="1"/>
  <c r="J521" i="1" a="1"/>
  <c r="J521" i="1"/>
  <c r="J522" i="1" a="1"/>
  <c r="J522" i="1"/>
  <c r="J523" i="1" a="1"/>
  <c r="J523" i="1" s="1"/>
  <c r="J524" i="1" a="1"/>
  <c r="J524" i="1" s="1"/>
  <c r="J525" i="1" a="1"/>
  <c r="J525" i="1"/>
  <c r="J526" i="1" a="1"/>
  <c r="J526" i="1" s="1"/>
  <c r="J527" i="1" a="1"/>
  <c r="J527" i="1"/>
  <c r="J528" i="1" a="1"/>
  <c r="J528" i="1" s="1"/>
  <c r="J529" i="1" a="1"/>
  <c r="J529" i="1"/>
  <c r="J530" i="1" a="1"/>
  <c r="J530" i="1" s="1"/>
  <c r="J531" i="1" a="1"/>
  <c r="J531" i="1" s="1"/>
  <c r="J532" i="1" a="1"/>
  <c r="J532" i="1" s="1"/>
  <c r="J533" i="1" a="1"/>
  <c r="J533" i="1" s="1"/>
  <c r="J534" i="1" a="1"/>
  <c r="J534" i="1"/>
  <c r="J535" i="1" a="1"/>
  <c r="J535" i="1"/>
  <c r="J536" i="1" a="1"/>
  <c r="J536" i="1" s="1"/>
  <c r="J537" i="1" a="1"/>
  <c r="J537" i="1"/>
  <c r="J538" i="1" a="1"/>
  <c r="J538" i="1" s="1"/>
  <c r="J539" i="1" a="1"/>
  <c r="J539" i="1" s="1"/>
  <c r="J540" i="1" a="1"/>
  <c r="J540" i="1" s="1"/>
  <c r="J541" i="1" a="1"/>
  <c r="J541" i="1"/>
  <c r="J542" i="1" a="1"/>
  <c r="J542" i="1"/>
  <c r="J543" i="1" a="1"/>
  <c r="J543" i="1"/>
  <c r="J544" i="1" a="1"/>
  <c r="J544" i="1" s="1"/>
  <c r="J545" i="1" a="1"/>
  <c r="J545" i="1"/>
  <c r="J546" i="1" a="1"/>
  <c r="J546" i="1"/>
  <c r="J547" i="1" a="1"/>
  <c r="J547" i="1" s="1"/>
  <c r="J548" i="1" a="1"/>
  <c r="J548" i="1" s="1"/>
  <c r="J549" i="1" a="1"/>
  <c r="J549" i="1"/>
  <c r="J550" i="1" a="1"/>
  <c r="J550" i="1" s="1"/>
  <c r="J551" i="1" a="1"/>
  <c r="J551" i="1"/>
  <c r="J552" i="1" a="1"/>
  <c r="J552" i="1" s="1"/>
  <c r="J553" i="1" a="1"/>
  <c r="J553" i="1"/>
  <c r="J554" i="1" a="1"/>
  <c r="J554" i="1"/>
  <c r="J555" i="1" a="1"/>
  <c r="J555" i="1" s="1"/>
  <c r="J556" i="1" a="1"/>
  <c r="J556" i="1" s="1"/>
  <c r="J557" i="1" a="1"/>
  <c r="J557" i="1"/>
  <c r="J558" i="1" a="1"/>
  <c r="J558" i="1" s="1"/>
  <c r="J559" i="1" a="1"/>
  <c r="J559" i="1" s="1"/>
  <c r="J560" i="1" a="1"/>
  <c r="J560" i="1" s="1"/>
  <c r="J561" i="1" a="1"/>
  <c r="J561" i="1"/>
  <c r="J562" i="1" a="1"/>
  <c r="J562" i="1" s="1"/>
  <c r="J563" i="1" a="1"/>
  <c r="J563" i="1" s="1"/>
  <c r="J564" i="1" a="1"/>
  <c r="J564" i="1" s="1"/>
  <c r="J565" i="1" a="1"/>
  <c r="J565" i="1"/>
  <c r="J566" i="1" a="1"/>
  <c r="J566" i="1"/>
  <c r="J567" i="1" a="1"/>
  <c r="J567" i="1" s="1"/>
  <c r="J568" i="1" a="1"/>
  <c r="J568" i="1" s="1"/>
  <c r="J569" i="1" a="1"/>
  <c r="J569" i="1" s="1"/>
  <c r="J570" i="1" a="1"/>
  <c r="J570" i="1"/>
  <c r="J571" i="1" a="1"/>
  <c r="J571" i="1" s="1"/>
  <c r="J572" i="1" a="1"/>
  <c r="J572" i="1" s="1"/>
  <c r="J573" i="1" a="1"/>
  <c r="J573" i="1"/>
  <c r="J574" i="1" a="1"/>
  <c r="J574" i="1"/>
  <c r="J575" i="1" a="1"/>
  <c r="J575" i="1" s="1"/>
  <c r="J576" i="1" a="1"/>
  <c r="J576" i="1" s="1"/>
  <c r="J577" i="1" a="1"/>
  <c r="J577" i="1" s="1"/>
  <c r="J578" i="1" a="1"/>
  <c r="J578" i="1"/>
  <c r="J579" i="1" a="1"/>
  <c r="J579" i="1" s="1"/>
  <c r="J580" i="1" a="1"/>
  <c r="J580" i="1" s="1"/>
  <c r="J581" i="1" a="1"/>
  <c r="J581" i="1"/>
  <c r="J582" i="1" a="1"/>
  <c r="J582" i="1" s="1"/>
  <c r="J583" i="1" a="1"/>
  <c r="J583" i="1"/>
  <c r="J584" i="1" a="1"/>
  <c r="J584" i="1" s="1"/>
  <c r="J585" i="1" a="1"/>
  <c r="J585" i="1" s="1"/>
  <c r="J586" i="1" a="1"/>
  <c r="J586" i="1"/>
  <c r="J587" i="1" a="1"/>
  <c r="J587" i="1" s="1"/>
  <c r="J588" i="1" a="1"/>
  <c r="J588" i="1" s="1"/>
  <c r="J589" i="1" a="1"/>
  <c r="J589" i="1" s="1"/>
  <c r="J590" i="1" a="1"/>
  <c r="J590" i="1" s="1"/>
  <c r="J591" i="1" a="1"/>
  <c r="J591" i="1"/>
  <c r="J592" i="1" a="1"/>
  <c r="J592" i="1" s="1"/>
  <c r="J593" i="1" a="1"/>
  <c r="J593" i="1"/>
  <c r="J594" i="1" a="1"/>
  <c r="J594" i="1"/>
  <c r="J595" i="1" a="1"/>
  <c r="J595" i="1" s="1"/>
  <c r="J596" i="1" a="1"/>
  <c r="J596" i="1" s="1"/>
  <c r="J597" i="1" a="1"/>
  <c r="J597" i="1" s="1"/>
  <c r="J598" i="1" a="1"/>
  <c r="J598" i="1"/>
  <c r="J599" i="1" a="1"/>
  <c r="J599" i="1" s="1"/>
  <c r="J600" i="1" a="1"/>
  <c r="J600" i="1" s="1"/>
  <c r="J601" i="1" a="1"/>
  <c r="J601" i="1"/>
  <c r="J602" i="1" a="1"/>
  <c r="J602" i="1"/>
  <c r="J603" i="1" a="1"/>
  <c r="J603" i="1" s="1"/>
  <c r="J604" i="1" a="1"/>
  <c r="J604" i="1" s="1"/>
  <c r="J605" i="1" a="1"/>
  <c r="J605" i="1" s="1"/>
  <c r="J606" i="1" a="1"/>
  <c r="J606" i="1"/>
  <c r="J607" i="1" a="1"/>
  <c r="J607" i="1" s="1"/>
  <c r="J608" i="1" a="1"/>
  <c r="J608" i="1" s="1"/>
  <c r="J609" i="1" a="1"/>
  <c r="J609" i="1" s="1"/>
  <c r="J610" i="1" a="1"/>
  <c r="J610" i="1"/>
  <c r="J611" i="1" a="1"/>
  <c r="J611" i="1" s="1"/>
  <c r="J612" i="1" a="1"/>
  <c r="J612" i="1" s="1"/>
  <c r="J613" i="1" a="1"/>
  <c r="J613" i="1"/>
  <c r="J614" i="1" a="1"/>
  <c r="J614" i="1"/>
  <c r="J615" i="1" a="1"/>
  <c r="J615" i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/>
  <c r="J622" i="1" a="1"/>
  <c r="J622" i="1"/>
  <c r="J623" i="1" a="1"/>
  <c r="J623" i="1"/>
  <c r="J624" i="1" a="1"/>
  <c r="J624" i="1" s="1"/>
  <c r="J625" i="1" a="1"/>
  <c r="J625" i="1"/>
  <c r="J626" i="1" a="1"/>
  <c r="J626" i="1" s="1"/>
  <c r="J627" i="1" a="1"/>
  <c r="J627" i="1" s="1"/>
  <c r="J628" i="1" a="1"/>
  <c r="J628" i="1" s="1"/>
  <c r="J629" i="1" a="1"/>
  <c r="J629" i="1" s="1"/>
  <c r="J630" i="1" a="1"/>
  <c r="J630" i="1"/>
  <c r="J631" i="1" a="1"/>
  <c r="J631" i="1" s="1"/>
  <c r="J632" i="1" a="1"/>
  <c r="J632" i="1" s="1"/>
  <c r="J633" i="1" a="1"/>
  <c r="J633" i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/>
  <c r="J640" i="1" a="1"/>
  <c r="J640" i="1" s="1"/>
  <c r="J641" i="1" a="1"/>
  <c r="J641" i="1" s="1"/>
  <c r="J642" i="1" a="1"/>
  <c r="J642" i="1"/>
  <c r="J643" i="1" a="1"/>
  <c r="J643" i="1" s="1"/>
  <c r="J644" i="1" a="1"/>
  <c r="J644" i="1" s="1"/>
  <c r="J645" i="1" a="1"/>
  <c r="J645" i="1"/>
  <c r="J646" i="1" a="1"/>
  <c r="J646" i="1" s="1"/>
  <c r="J647" i="1" a="1"/>
  <c r="J647" i="1"/>
  <c r="J648" i="1" a="1"/>
  <c r="J648" i="1" s="1"/>
  <c r="J649" i="1" a="1"/>
  <c r="J649" i="1"/>
  <c r="J650" i="1" a="1"/>
  <c r="J650" i="1"/>
  <c r="J651" i="1" a="1"/>
  <c r="J651" i="1" s="1"/>
  <c r="J652" i="1" a="1"/>
  <c r="J652" i="1" s="1"/>
  <c r="J653" i="1" a="1"/>
  <c r="J653" i="1"/>
  <c r="J654" i="1" a="1"/>
  <c r="J654" i="1" s="1"/>
  <c r="J655" i="1" a="1"/>
  <c r="J655" i="1"/>
  <c r="J656" i="1" a="1"/>
  <c r="J656" i="1" s="1"/>
  <c r="J657" i="1" a="1"/>
  <c r="J657" i="1"/>
  <c r="J658" i="1" a="1"/>
  <c r="J658" i="1" s="1"/>
  <c r="J659" i="1" a="1"/>
  <c r="J659" i="1" s="1"/>
  <c r="J660" i="1" a="1"/>
  <c r="J660" i="1" s="1"/>
  <c r="J661" i="1" a="1"/>
  <c r="J661" i="1" s="1"/>
  <c r="J662" i="1" a="1"/>
  <c r="J662" i="1"/>
  <c r="J663" i="1" a="1"/>
  <c r="J663" i="1"/>
  <c r="J664" i="1" a="1"/>
  <c r="J664" i="1" s="1"/>
  <c r="J665" i="1" a="1"/>
  <c r="J665" i="1"/>
  <c r="J666" i="1" a="1"/>
  <c r="J666" i="1" s="1"/>
  <c r="J667" i="1" a="1"/>
  <c r="J667" i="1" s="1"/>
  <c r="J668" i="1" a="1"/>
  <c r="J668" i="1" s="1"/>
  <c r="J669" i="1" a="1"/>
  <c r="J669" i="1"/>
  <c r="J670" i="1" a="1"/>
  <c r="J670" i="1"/>
  <c r="J671" i="1" a="1"/>
  <c r="J671" i="1"/>
  <c r="J672" i="1" a="1"/>
  <c r="J672" i="1" s="1"/>
  <c r="J673" i="1" a="1"/>
  <c r="J673" i="1"/>
  <c r="J674" i="1" a="1"/>
  <c r="J674" i="1"/>
  <c r="J675" i="1" a="1"/>
  <c r="J675" i="1" s="1"/>
  <c r="J676" i="1" a="1"/>
  <c r="J676" i="1" s="1"/>
  <c r="J677" i="1" a="1"/>
  <c r="J677" i="1"/>
  <c r="J678" i="1" a="1"/>
  <c r="J678" i="1" s="1"/>
  <c r="J679" i="1" a="1"/>
  <c r="J679" i="1"/>
  <c r="J680" i="1" a="1"/>
  <c r="J680" i="1" s="1"/>
  <c r="J681" i="1" a="1"/>
  <c r="J681" i="1"/>
  <c r="J682" i="1" a="1"/>
  <c r="J682" i="1"/>
  <c r="J683" i="1" a="1"/>
  <c r="J683" i="1" s="1"/>
  <c r="J684" i="1" a="1"/>
  <c r="J684" i="1"/>
  <c r="J685" i="1" a="1"/>
  <c r="J685" i="1" s="1"/>
  <c r="J686" i="1" a="1"/>
  <c r="J686" i="1" s="1"/>
  <c r="J687" i="1" a="1"/>
  <c r="J687" i="1"/>
  <c r="J688" i="1" a="1"/>
  <c r="J688" i="1"/>
  <c r="J689" i="1" a="1"/>
  <c r="J689" i="1"/>
  <c r="J690" i="1" a="1"/>
  <c r="J690" i="1"/>
  <c r="J691" i="1" a="1"/>
  <c r="J691" i="1" s="1"/>
  <c r="J692" i="1" a="1"/>
  <c r="J692" i="1"/>
  <c r="J693" i="1" a="1"/>
  <c r="J693" i="1" s="1"/>
  <c r="J694" i="1" a="1"/>
  <c r="J694" i="1" s="1"/>
  <c r="J695" i="1" a="1"/>
  <c r="J695" i="1" s="1"/>
  <c r="J696" i="1" a="1"/>
  <c r="J696" i="1"/>
  <c r="J697" i="1" a="1"/>
  <c r="J697" i="1"/>
  <c r="J698" i="1" a="1"/>
  <c r="J698" i="1"/>
  <c r="J699" i="1" a="1"/>
  <c r="J699" i="1" s="1"/>
  <c r="J700" i="1" a="1"/>
  <c r="J700" i="1"/>
  <c r="J701" i="1" a="1"/>
  <c r="J701" i="1" s="1"/>
  <c r="J2" i="1" a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2" i="2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2" i="1" a="1"/>
  <c r="G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E3" i="1"/>
  <c r="K3" i="1" s="1"/>
  <c r="E4" i="1"/>
  <c r="K4" i="1" s="1"/>
  <c r="E5" i="1"/>
  <c r="E6" i="1"/>
  <c r="K6" i="1" s="1"/>
  <c r="E7" i="1"/>
  <c r="K7" i="1" s="1"/>
  <c r="E8" i="1"/>
  <c r="K8" i="1" s="1"/>
  <c r="E9" i="1"/>
  <c r="K9" i="1" s="1"/>
  <c r="E10" i="1"/>
  <c r="E11" i="1"/>
  <c r="K11" i="1" s="1"/>
  <c r="E12" i="1"/>
  <c r="K12" i="1" s="1"/>
  <c r="E13" i="1"/>
  <c r="K13" i="1" s="1"/>
  <c r="E14" i="1"/>
  <c r="K14" i="1" s="1"/>
  <c r="E15" i="1"/>
  <c r="K15" i="1" s="1"/>
  <c r="E16" i="1"/>
  <c r="E17" i="1"/>
  <c r="K17" i="1" s="1"/>
  <c r="E18" i="1"/>
  <c r="K18" i="1" s="1"/>
  <c r="E19" i="1"/>
  <c r="K19" i="1" s="1"/>
  <c r="E20" i="1"/>
  <c r="K20" i="1" s="1"/>
  <c r="E21" i="1"/>
  <c r="E22" i="1"/>
  <c r="K22" i="1" s="1"/>
  <c r="E23" i="1"/>
  <c r="K23" i="1" s="1"/>
  <c r="E24" i="1"/>
  <c r="K24" i="1" s="1"/>
  <c r="E25" i="1"/>
  <c r="K25" i="1" s="1"/>
  <c r="E26" i="1"/>
  <c r="E27" i="1"/>
  <c r="K27" i="1" s="1"/>
  <c r="E28" i="1"/>
  <c r="K28" i="1" s="1"/>
  <c r="E29" i="1"/>
  <c r="K29" i="1" s="1"/>
  <c r="E30" i="1"/>
  <c r="K30" i="1" s="1"/>
  <c r="E31" i="1"/>
  <c r="K31" i="1" s="1"/>
  <c r="E32" i="1"/>
  <c r="E33" i="1"/>
  <c r="K33" i="1" s="1"/>
  <c r="E34" i="1"/>
  <c r="K34" i="1" s="1"/>
  <c r="E35" i="1"/>
  <c r="K35" i="1" s="1"/>
  <c r="E36" i="1"/>
  <c r="K36" i="1" s="1"/>
  <c r="E37" i="1"/>
  <c r="E38" i="1"/>
  <c r="K38" i="1" s="1"/>
  <c r="E39" i="1"/>
  <c r="K39" i="1" s="1"/>
  <c r="E40" i="1"/>
  <c r="K40" i="1" s="1"/>
  <c r="E41" i="1"/>
  <c r="K41" i="1" s="1"/>
  <c r="E42" i="1"/>
  <c r="E43" i="1"/>
  <c r="K43" i="1" s="1"/>
  <c r="E44" i="1"/>
  <c r="K44" i="1" s="1"/>
  <c r="E45" i="1"/>
  <c r="K45" i="1" s="1"/>
  <c r="E46" i="1"/>
  <c r="K46" i="1" s="1"/>
  <c r="E47" i="1"/>
  <c r="K47" i="1" s="1"/>
  <c r="E48" i="1"/>
  <c r="E49" i="1"/>
  <c r="K49" i="1" s="1"/>
  <c r="E50" i="1"/>
  <c r="K50" i="1" s="1"/>
  <c r="E51" i="1"/>
  <c r="K51" i="1" s="1"/>
  <c r="E52" i="1"/>
  <c r="K52" i="1" s="1"/>
  <c r="E53" i="1"/>
  <c r="E54" i="1"/>
  <c r="K54" i="1" s="1"/>
  <c r="E55" i="1"/>
  <c r="K55" i="1" s="1"/>
  <c r="E56" i="1"/>
  <c r="K56" i="1" s="1"/>
  <c r="E57" i="1"/>
  <c r="K57" i="1" s="1"/>
  <c r="E58" i="1"/>
  <c r="E59" i="1"/>
  <c r="K59" i="1" s="1"/>
  <c r="E60" i="1"/>
  <c r="K60" i="1" s="1"/>
  <c r="E61" i="1"/>
  <c r="K61" i="1" s="1"/>
  <c r="E62" i="1"/>
  <c r="K62" i="1" s="1"/>
  <c r="E63" i="1"/>
  <c r="K63" i="1" s="1"/>
  <c r="E64" i="1"/>
  <c r="E65" i="1"/>
  <c r="K65" i="1" s="1"/>
  <c r="E66" i="1"/>
  <c r="K66" i="1" s="1"/>
  <c r="E67" i="1"/>
  <c r="K67" i="1" s="1"/>
  <c r="E68" i="1"/>
  <c r="K68" i="1" s="1"/>
  <c r="E69" i="1"/>
  <c r="E70" i="1"/>
  <c r="K70" i="1" s="1"/>
  <c r="E71" i="1"/>
  <c r="K71" i="1" s="1"/>
  <c r="E72" i="1"/>
  <c r="K72" i="1" s="1"/>
  <c r="E73" i="1"/>
  <c r="K73" i="1" s="1"/>
  <c r="E74" i="1"/>
  <c r="E75" i="1"/>
  <c r="K75" i="1" s="1"/>
  <c r="E76" i="1"/>
  <c r="K76" i="1" s="1"/>
  <c r="E77" i="1"/>
  <c r="K77" i="1" s="1"/>
  <c r="E78" i="1"/>
  <c r="K78" i="1" s="1"/>
  <c r="E79" i="1"/>
  <c r="K79" i="1" s="1"/>
  <c r="E80" i="1"/>
  <c r="E81" i="1"/>
  <c r="K81" i="1" s="1"/>
  <c r="E82" i="1"/>
  <c r="K82" i="1" s="1"/>
  <c r="E83" i="1"/>
  <c r="K83" i="1" s="1"/>
  <c r="E84" i="1"/>
  <c r="K84" i="1" s="1"/>
  <c r="E85" i="1"/>
  <c r="E86" i="1"/>
  <c r="K86" i="1" s="1"/>
  <c r="E87" i="1"/>
  <c r="K87" i="1" s="1"/>
  <c r="E88" i="1"/>
  <c r="K88" i="1" s="1"/>
  <c r="E89" i="1"/>
  <c r="K89" i="1" s="1"/>
  <c r="E90" i="1"/>
  <c r="E91" i="1"/>
  <c r="K91" i="1" s="1"/>
  <c r="E92" i="1"/>
  <c r="K92" i="1" s="1"/>
  <c r="E93" i="1"/>
  <c r="K93" i="1" s="1"/>
  <c r="E94" i="1"/>
  <c r="K94" i="1" s="1"/>
  <c r="E95" i="1"/>
  <c r="K95" i="1" s="1"/>
  <c r="E96" i="1"/>
  <c r="E97" i="1"/>
  <c r="K97" i="1" s="1"/>
  <c r="E98" i="1"/>
  <c r="K98" i="1" s="1"/>
  <c r="E99" i="1"/>
  <c r="K99" i="1" s="1"/>
  <c r="E100" i="1"/>
  <c r="K100" i="1" s="1"/>
  <c r="E101" i="1"/>
  <c r="E102" i="1"/>
  <c r="K102" i="1" s="1"/>
  <c r="E103" i="1"/>
  <c r="K103" i="1" s="1"/>
  <c r="E104" i="1"/>
  <c r="K104" i="1" s="1"/>
  <c r="E105" i="1"/>
  <c r="K105" i="1" s="1"/>
  <c r="E106" i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E113" i="1"/>
  <c r="K113" i="1" s="1"/>
  <c r="E114" i="1"/>
  <c r="K114" i="1" s="1"/>
  <c r="E115" i="1"/>
  <c r="K115" i="1" s="1"/>
  <c r="E116" i="1"/>
  <c r="K116" i="1" s="1"/>
  <c r="E117" i="1"/>
  <c r="E118" i="1"/>
  <c r="K118" i="1" s="1"/>
  <c r="E119" i="1"/>
  <c r="K119" i="1" s="1"/>
  <c r="E120" i="1"/>
  <c r="K120" i="1" s="1"/>
  <c r="E121" i="1"/>
  <c r="K121" i="1" s="1"/>
  <c r="E122" i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E129" i="1"/>
  <c r="K129" i="1" s="1"/>
  <c r="E130" i="1"/>
  <c r="K130" i="1" s="1"/>
  <c r="E131" i="1"/>
  <c r="K131" i="1" s="1"/>
  <c r="E132" i="1"/>
  <c r="K132" i="1" s="1"/>
  <c r="E133" i="1"/>
  <c r="E134" i="1"/>
  <c r="K134" i="1" s="1"/>
  <c r="E135" i="1"/>
  <c r="K135" i="1" s="1"/>
  <c r="E136" i="1"/>
  <c r="K136" i="1" s="1"/>
  <c r="E137" i="1"/>
  <c r="K137" i="1" s="1"/>
  <c r="E138" i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E145" i="1"/>
  <c r="K145" i="1" s="1"/>
  <c r="E146" i="1"/>
  <c r="K146" i="1" s="1"/>
  <c r="E147" i="1"/>
  <c r="K147" i="1" s="1"/>
  <c r="E148" i="1"/>
  <c r="K148" i="1" s="1"/>
  <c r="E149" i="1"/>
  <c r="E150" i="1"/>
  <c r="K150" i="1" s="1"/>
  <c r="E151" i="1"/>
  <c r="K151" i="1" s="1"/>
  <c r="E152" i="1"/>
  <c r="K152" i="1" s="1"/>
  <c r="E153" i="1"/>
  <c r="K153" i="1" s="1"/>
  <c r="E154" i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E161" i="1"/>
  <c r="K161" i="1" s="1"/>
  <c r="E162" i="1"/>
  <c r="K162" i="1" s="1"/>
  <c r="E163" i="1"/>
  <c r="K163" i="1" s="1"/>
  <c r="E164" i="1"/>
  <c r="K164" i="1" s="1"/>
  <c r="E165" i="1"/>
  <c r="E166" i="1"/>
  <c r="K166" i="1" s="1"/>
  <c r="E167" i="1"/>
  <c r="K167" i="1" s="1"/>
  <c r="E168" i="1"/>
  <c r="K168" i="1" s="1"/>
  <c r="E169" i="1"/>
  <c r="K169" i="1" s="1"/>
  <c r="E170" i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E177" i="1"/>
  <c r="K177" i="1" s="1"/>
  <c r="E178" i="1"/>
  <c r="K178" i="1" s="1"/>
  <c r="E179" i="1"/>
  <c r="K179" i="1" s="1"/>
  <c r="E180" i="1"/>
  <c r="K180" i="1" s="1"/>
  <c r="E181" i="1"/>
  <c r="E182" i="1"/>
  <c r="K182" i="1" s="1"/>
  <c r="E183" i="1"/>
  <c r="K183" i="1" s="1"/>
  <c r="E184" i="1"/>
  <c r="K184" i="1" s="1"/>
  <c r="E185" i="1"/>
  <c r="K185" i="1" s="1"/>
  <c r="E186" i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E193" i="1"/>
  <c r="K193" i="1" s="1"/>
  <c r="E194" i="1"/>
  <c r="K194" i="1" s="1"/>
  <c r="E195" i="1"/>
  <c r="K195" i="1" s="1"/>
  <c r="E196" i="1"/>
  <c r="K196" i="1" s="1"/>
  <c r="E197" i="1"/>
  <c r="E198" i="1"/>
  <c r="K198" i="1" s="1"/>
  <c r="E199" i="1"/>
  <c r="K199" i="1" s="1"/>
  <c r="E200" i="1"/>
  <c r="K200" i="1" s="1"/>
  <c r="E201" i="1"/>
  <c r="K201" i="1" s="1"/>
  <c r="E202" i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E209" i="1"/>
  <c r="K209" i="1" s="1"/>
  <c r="E210" i="1"/>
  <c r="K210" i="1" s="1"/>
  <c r="E211" i="1"/>
  <c r="K211" i="1" s="1"/>
  <c r="E212" i="1"/>
  <c r="K212" i="1" s="1"/>
  <c r="E213" i="1"/>
  <c r="E214" i="1"/>
  <c r="K214" i="1" s="1"/>
  <c r="E215" i="1"/>
  <c r="K215" i="1" s="1"/>
  <c r="E216" i="1"/>
  <c r="K216" i="1" s="1"/>
  <c r="E217" i="1"/>
  <c r="K217" i="1" s="1"/>
  <c r="E218" i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E225" i="1"/>
  <c r="K225" i="1" s="1"/>
  <c r="E226" i="1"/>
  <c r="K226" i="1" s="1"/>
  <c r="E227" i="1"/>
  <c r="K227" i="1" s="1"/>
  <c r="E228" i="1"/>
  <c r="K228" i="1" s="1"/>
  <c r="E229" i="1"/>
  <c r="E230" i="1"/>
  <c r="K230" i="1" s="1"/>
  <c r="E231" i="1"/>
  <c r="K231" i="1" s="1"/>
  <c r="E232" i="1"/>
  <c r="K232" i="1" s="1"/>
  <c r="E233" i="1"/>
  <c r="K233" i="1" s="1"/>
  <c r="E234" i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E241" i="1"/>
  <c r="K241" i="1" s="1"/>
  <c r="E242" i="1"/>
  <c r="K242" i="1" s="1"/>
  <c r="E243" i="1"/>
  <c r="K243" i="1" s="1"/>
  <c r="E244" i="1"/>
  <c r="K244" i="1" s="1"/>
  <c r="E245" i="1"/>
  <c r="E246" i="1"/>
  <c r="K246" i="1" s="1"/>
  <c r="E247" i="1"/>
  <c r="K247" i="1" s="1"/>
  <c r="E248" i="1"/>
  <c r="K248" i="1" s="1"/>
  <c r="E249" i="1"/>
  <c r="K249" i="1" s="1"/>
  <c r="E250" i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E257" i="1"/>
  <c r="K257" i="1" s="1"/>
  <c r="E258" i="1"/>
  <c r="K258" i="1" s="1"/>
  <c r="E259" i="1"/>
  <c r="K259" i="1" s="1"/>
  <c r="E260" i="1"/>
  <c r="K260" i="1" s="1"/>
  <c r="E261" i="1"/>
  <c r="E262" i="1"/>
  <c r="K262" i="1" s="1"/>
  <c r="E263" i="1"/>
  <c r="K263" i="1" s="1"/>
  <c r="E264" i="1"/>
  <c r="K264" i="1" s="1"/>
  <c r="E265" i="1"/>
  <c r="K265" i="1" s="1"/>
  <c r="E266" i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E273" i="1"/>
  <c r="K273" i="1" s="1"/>
  <c r="E274" i="1"/>
  <c r="K274" i="1" s="1"/>
  <c r="E275" i="1"/>
  <c r="K275" i="1" s="1"/>
  <c r="E276" i="1"/>
  <c r="K276" i="1" s="1"/>
  <c r="E277" i="1"/>
  <c r="E278" i="1"/>
  <c r="K278" i="1" s="1"/>
  <c r="E279" i="1"/>
  <c r="K279" i="1" s="1"/>
  <c r="E280" i="1"/>
  <c r="K280" i="1" s="1"/>
  <c r="E281" i="1"/>
  <c r="K281" i="1" s="1"/>
  <c r="E282" i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E289" i="1"/>
  <c r="K289" i="1" s="1"/>
  <c r="E290" i="1"/>
  <c r="K290" i="1" s="1"/>
  <c r="E291" i="1"/>
  <c r="K291" i="1" s="1"/>
  <c r="E292" i="1"/>
  <c r="K292" i="1" s="1"/>
  <c r="E293" i="1"/>
  <c r="E294" i="1"/>
  <c r="K294" i="1" s="1"/>
  <c r="E295" i="1"/>
  <c r="K295" i="1" s="1"/>
  <c r="E296" i="1"/>
  <c r="K296" i="1" s="1"/>
  <c r="E297" i="1"/>
  <c r="K297" i="1" s="1"/>
  <c r="E298" i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E305" i="1"/>
  <c r="K305" i="1" s="1"/>
  <c r="E306" i="1"/>
  <c r="K306" i="1" s="1"/>
  <c r="E307" i="1"/>
  <c r="K307" i="1" s="1"/>
  <c r="E308" i="1"/>
  <c r="K308" i="1" s="1"/>
  <c r="E309" i="1"/>
  <c r="E310" i="1"/>
  <c r="K310" i="1" s="1"/>
  <c r="E311" i="1"/>
  <c r="K311" i="1" s="1"/>
  <c r="E312" i="1"/>
  <c r="K312" i="1" s="1"/>
  <c r="E313" i="1"/>
  <c r="K313" i="1" s="1"/>
  <c r="E314" i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E321" i="1"/>
  <c r="K321" i="1" s="1"/>
  <c r="E322" i="1"/>
  <c r="K322" i="1" s="1"/>
  <c r="E323" i="1"/>
  <c r="K323" i="1" s="1"/>
  <c r="E324" i="1"/>
  <c r="K324" i="1" s="1"/>
  <c r="E325" i="1"/>
  <c r="E326" i="1"/>
  <c r="K326" i="1" s="1"/>
  <c r="E327" i="1"/>
  <c r="K327" i="1" s="1"/>
  <c r="E328" i="1"/>
  <c r="K328" i="1" s="1"/>
  <c r="E329" i="1"/>
  <c r="K329" i="1" s="1"/>
  <c r="E330" i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E337" i="1"/>
  <c r="K337" i="1" s="1"/>
  <c r="E338" i="1"/>
  <c r="K338" i="1" s="1"/>
  <c r="E339" i="1"/>
  <c r="K339" i="1" s="1"/>
  <c r="E340" i="1"/>
  <c r="K340" i="1" s="1"/>
  <c r="E341" i="1"/>
  <c r="E342" i="1"/>
  <c r="K342" i="1" s="1"/>
  <c r="E343" i="1"/>
  <c r="K343" i="1" s="1"/>
  <c r="E344" i="1"/>
  <c r="K344" i="1" s="1"/>
  <c r="E345" i="1"/>
  <c r="K345" i="1" s="1"/>
  <c r="E346" i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E353" i="1"/>
  <c r="K353" i="1" s="1"/>
  <c r="E354" i="1"/>
  <c r="K354" i="1" s="1"/>
  <c r="E355" i="1"/>
  <c r="K355" i="1" s="1"/>
  <c r="E356" i="1"/>
  <c r="K356" i="1" s="1"/>
  <c r="E357" i="1"/>
  <c r="E358" i="1"/>
  <c r="K358" i="1" s="1"/>
  <c r="E359" i="1"/>
  <c r="K359" i="1" s="1"/>
  <c r="E360" i="1"/>
  <c r="K360" i="1" s="1"/>
  <c r="E361" i="1"/>
  <c r="K361" i="1" s="1"/>
  <c r="E362" i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E369" i="1"/>
  <c r="K369" i="1" s="1"/>
  <c r="E370" i="1"/>
  <c r="K370" i="1" s="1"/>
  <c r="E371" i="1"/>
  <c r="K371" i="1" s="1"/>
  <c r="E372" i="1"/>
  <c r="K372" i="1" s="1"/>
  <c r="E373" i="1"/>
  <c r="E374" i="1"/>
  <c r="K374" i="1" s="1"/>
  <c r="E375" i="1"/>
  <c r="K375" i="1" s="1"/>
  <c r="E376" i="1"/>
  <c r="K376" i="1" s="1"/>
  <c r="E377" i="1"/>
  <c r="K377" i="1" s="1"/>
  <c r="E378" i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E385" i="1"/>
  <c r="K385" i="1" s="1"/>
  <c r="E386" i="1"/>
  <c r="K386" i="1" s="1"/>
  <c r="E387" i="1"/>
  <c r="K387" i="1" s="1"/>
  <c r="E388" i="1"/>
  <c r="K388" i="1" s="1"/>
  <c r="E389" i="1"/>
  <c r="E390" i="1"/>
  <c r="K390" i="1" s="1"/>
  <c r="E391" i="1"/>
  <c r="K391" i="1" s="1"/>
  <c r="E392" i="1"/>
  <c r="K392" i="1" s="1"/>
  <c r="E393" i="1"/>
  <c r="K393" i="1" s="1"/>
  <c r="E394" i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E401" i="1"/>
  <c r="K401" i="1" s="1"/>
  <c r="E402" i="1"/>
  <c r="K402" i="1" s="1"/>
  <c r="E403" i="1"/>
  <c r="K403" i="1" s="1"/>
  <c r="E404" i="1"/>
  <c r="K404" i="1" s="1"/>
  <c r="E405" i="1"/>
  <c r="E406" i="1"/>
  <c r="K406" i="1" s="1"/>
  <c r="E407" i="1"/>
  <c r="K407" i="1" s="1"/>
  <c r="E408" i="1"/>
  <c r="K408" i="1" s="1"/>
  <c r="E409" i="1"/>
  <c r="K409" i="1" s="1"/>
  <c r="E410" i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E417" i="1"/>
  <c r="K417" i="1" s="1"/>
  <c r="E418" i="1"/>
  <c r="K418" i="1" s="1"/>
  <c r="E419" i="1"/>
  <c r="K419" i="1" s="1"/>
  <c r="E420" i="1"/>
  <c r="K420" i="1" s="1"/>
  <c r="E421" i="1"/>
  <c r="E422" i="1"/>
  <c r="K422" i="1" s="1"/>
  <c r="E423" i="1"/>
  <c r="K423" i="1" s="1"/>
  <c r="E424" i="1"/>
  <c r="K424" i="1" s="1"/>
  <c r="E425" i="1"/>
  <c r="K425" i="1" s="1"/>
  <c r="E426" i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E433" i="1"/>
  <c r="K433" i="1" s="1"/>
  <c r="E434" i="1"/>
  <c r="K434" i="1" s="1"/>
  <c r="E435" i="1"/>
  <c r="K435" i="1" s="1"/>
  <c r="E436" i="1"/>
  <c r="K436" i="1" s="1"/>
  <c r="E437" i="1"/>
  <c r="E438" i="1"/>
  <c r="K438" i="1" s="1"/>
  <c r="E439" i="1"/>
  <c r="K439" i="1" s="1"/>
  <c r="E440" i="1"/>
  <c r="K440" i="1" s="1"/>
  <c r="E441" i="1"/>
  <c r="K441" i="1" s="1"/>
  <c r="E442" i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E449" i="1"/>
  <c r="K449" i="1" s="1"/>
  <c r="E450" i="1"/>
  <c r="K450" i="1" s="1"/>
  <c r="E451" i="1"/>
  <c r="K451" i="1" s="1"/>
  <c r="E452" i="1"/>
  <c r="K452" i="1" s="1"/>
  <c r="E453" i="1"/>
  <c r="E454" i="1"/>
  <c r="K454" i="1" s="1"/>
  <c r="E455" i="1"/>
  <c r="K455" i="1" s="1"/>
  <c r="E456" i="1"/>
  <c r="K456" i="1" s="1"/>
  <c r="E457" i="1"/>
  <c r="K457" i="1" s="1"/>
  <c r="E458" i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E465" i="1"/>
  <c r="K465" i="1" s="1"/>
  <c r="E466" i="1"/>
  <c r="K466" i="1" s="1"/>
  <c r="E467" i="1"/>
  <c r="K467" i="1" s="1"/>
  <c r="E468" i="1"/>
  <c r="K468" i="1" s="1"/>
  <c r="E469" i="1"/>
  <c r="E470" i="1"/>
  <c r="K470" i="1" s="1"/>
  <c r="E471" i="1"/>
  <c r="K471" i="1" s="1"/>
  <c r="E472" i="1"/>
  <c r="K472" i="1" s="1"/>
  <c r="E473" i="1"/>
  <c r="K473" i="1" s="1"/>
  <c r="E474" i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E481" i="1"/>
  <c r="K481" i="1" s="1"/>
  <c r="E482" i="1"/>
  <c r="K482" i="1" s="1"/>
  <c r="E483" i="1"/>
  <c r="K483" i="1" s="1"/>
  <c r="E484" i="1"/>
  <c r="K484" i="1" s="1"/>
  <c r="E485" i="1"/>
  <c r="E486" i="1"/>
  <c r="K486" i="1" s="1"/>
  <c r="E487" i="1"/>
  <c r="K487" i="1" s="1"/>
  <c r="E488" i="1"/>
  <c r="K488" i="1" s="1"/>
  <c r="E489" i="1"/>
  <c r="K489" i="1" s="1"/>
  <c r="E490" i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E497" i="1"/>
  <c r="K497" i="1" s="1"/>
  <c r="E498" i="1"/>
  <c r="K498" i="1" s="1"/>
  <c r="E499" i="1"/>
  <c r="K499" i="1" s="1"/>
  <c r="E500" i="1"/>
  <c r="K500" i="1" s="1"/>
  <c r="E501" i="1"/>
  <c r="E502" i="1"/>
  <c r="K502" i="1" s="1"/>
  <c r="E503" i="1"/>
  <c r="K503" i="1" s="1"/>
  <c r="E504" i="1"/>
  <c r="K504" i="1" s="1"/>
  <c r="E505" i="1"/>
  <c r="K505" i="1" s="1"/>
  <c r="E506" i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E513" i="1"/>
  <c r="K513" i="1" s="1"/>
  <c r="E514" i="1"/>
  <c r="K514" i="1" s="1"/>
  <c r="E515" i="1"/>
  <c r="K515" i="1" s="1"/>
  <c r="E516" i="1"/>
  <c r="K516" i="1" s="1"/>
  <c r="E517" i="1"/>
  <c r="E518" i="1"/>
  <c r="K518" i="1" s="1"/>
  <c r="E519" i="1"/>
  <c r="K519" i="1" s="1"/>
  <c r="E520" i="1"/>
  <c r="K520" i="1" s="1"/>
  <c r="E521" i="1"/>
  <c r="K521" i="1" s="1"/>
  <c r="E522" i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E529" i="1"/>
  <c r="K529" i="1" s="1"/>
  <c r="E530" i="1"/>
  <c r="K530" i="1" s="1"/>
  <c r="E531" i="1"/>
  <c r="K531" i="1" s="1"/>
  <c r="E532" i="1"/>
  <c r="K532" i="1" s="1"/>
  <c r="E533" i="1"/>
  <c r="E534" i="1"/>
  <c r="K534" i="1" s="1"/>
  <c r="E535" i="1"/>
  <c r="K535" i="1" s="1"/>
  <c r="E536" i="1"/>
  <c r="K536" i="1" s="1"/>
  <c r="E537" i="1"/>
  <c r="K537" i="1" s="1"/>
  <c r="E538" i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E545" i="1"/>
  <c r="K545" i="1" s="1"/>
  <c r="E546" i="1"/>
  <c r="K546" i="1" s="1"/>
  <c r="E547" i="1"/>
  <c r="K547" i="1" s="1"/>
  <c r="E548" i="1"/>
  <c r="K548" i="1" s="1"/>
  <c r="E549" i="1"/>
  <c r="E550" i="1"/>
  <c r="K550" i="1" s="1"/>
  <c r="E551" i="1"/>
  <c r="K551" i="1" s="1"/>
  <c r="E552" i="1"/>
  <c r="K552" i="1" s="1"/>
  <c r="E553" i="1"/>
  <c r="K553" i="1" s="1"/>
  <c r="E554" i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E561" i="1"/>
  <c r="K561" i="1" s="1"/>
  <c r="E562" i="1"/>
  <c r="K562" i="1" s="1"/>
  <c r="E563" i="1"/>
  <c r="K563" i="1" s="1"/>
  <c r="E564" i="1"/>
  <c r="K564" i="1" s="1"/>
  <c r="E565" i="1"/>
  <c r="E566" i="1"/>
  <c r="K566" i="1" s="1"/>
  <c r="E567" i="1"/>
  <c r="K567" i="1" s="1"/>
  <c r="E568" i="1"/>
  <c r="K568" i="1" s="1"/>
  <c r="E569" i="1"/>
  <c r="K569" i="1" s="1"/>
  <c r="E570" i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E577" i="1"/>
  <c r="K577" i="1" s="1"/>
  <c r="E578" i="1"/>
  <c r="K578" i="1" s="1"/>
  <c r="E579" i="1"/>
  <c r="K579" i="1" s="1"/>
  <c r="E580" i="1"/>
  <c r="K580" i="1" s="1"/>
  <c r="E581" i="1"/>
  <c r="E582" i="1"/>
  <c r="K582" i="1" s="1"/>
  <c r="E583" i="1"/>
  <c r="K583" i="1" s="1"/>
  <c r="E584" i="1"/>
  <c r="K584" i="1" s="1"/>
  <c r="E585" i="1"/>
  <c r="K585" i="1" s="1"/>
  <c r="E586" i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E593" i="1"/>
  <c r="K593" i="1" s="1"/>
  <c r="E594" i="1"/>
  <c r="K594" i="1" s="1"/>
  <c r="E595" i="1"/>
  <c r="K595" i="1" s="1"/>
  <c r="E596" i="1"/>
  <c r="K596" i="1" s="1"/>
  <c r="E597" i="1"/>
  <c r="E598" i="1"/>
  <c r="K598" i="1" s="1"/>
  <c r="E599" i="1"/>
  <c r="K599" i="1" s="1"/>
  <c r="E600" i="1"/>
  <c r="K600" i="1" s="1"/>
  <c r="E601" i="1"/>
  <c r="K601" i="1" s="1"/>
  <c r="E602" i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E609" i="1"/>
  <c r="K609" i="1" s="1"/>
  <c r="E610" i="1"/>
  <c r="K610" i="1" s="1"/>
  <c r="E611" i="1"/>
  <c r="K611" i="1" s="1"/>
  <c r="E612" i="1"/>
  <c r="K612" i="1" s="1"/>
  <c r="E613" i="1"/>
  <c r="E614" i="1"/>
  <c r="K614" i="1" s="1"/>
  <c r="E615" i="1"/>
  <c r="K615" i="1" s="1"/>
  <c r="E616" i="1"/>
  <c r="K616" i="1" s="1"/>
  <c r="E617" i="1"/>
  <c r="K617" i="1" s="1"/>
  <c r="E618" i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E625" i="1"/>
  <c r="K625" i="1" s="1"/>
  <c r="E626" i="1"/>
  <c r="K626" i="1" s="1"/>
  <c r="E627" i="1"/>
  <c r="K627" i="1" s="1"/>
  <c r="E628" i="1"/>
  <c r="K628" i="1" s="1"/>
  <c r="E629" i="1"/>
  <c r="E630" i="1"/>
  <c r="K630" i="1" s="1"/>
  <c r="E631" i="1"/>
  <c r="K631" i="1" s="1"/>
  <c r="E632" i="1"/>
  <c r="K632" i="1" s="1"/>
  <c r="E633" i="1"/>
  <c r="K633" i="1" s="1"/>
  <c r="E634" i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E641" i="1"/>
  <c r="K641" i="1" s="1"/>
  <c r="E642" i="1"/>
  <c r="K642" i="1" s="1"/>
  <c r="E643" i="1"/>
  <c r="K643" i="1" s="1"/>
  <c r="E644" i="1"/>
  <c r="K644" i="1" s="1"/>
  <c r="E645" i="1"/>
  <c r="E646" i="1"/>
  <c r="K646" i="1" s="1"/>
  <c r="E647" i="1"/>
  <c r="K647" i="1" s="1"/>
  <c r="E648" i="1"/>
  <c r="K648" i="1" s="1"/>
  <c r="E649" i="1"/>
  <c r="K649" i="1" s="1"/>
  <c r="E650" i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2" i="1"/>
  <c r="K2" i="1" s="1"/>
  <c r="H691" i="1" l="1"/>
  <c r="H675" i="1"/>
  <c r="H658" i="1"/>
  <c r="H638" i="1"/>
  <c r="H619" i="1"/>
  <c r="H599" i="1"/>
  <c r="H579" i="1"/>
  <c r="H559" i="1"/>
  <c r="H540" i="1"/>
  <c r="H520" i="1"/>
  <c r="H500" i="1"/>
  <c r="H481" i="1"/>
  <c r="H461" i="1"/>
  <c r="H441" i="1"/>
  <c r="H422" i="1"/>
  <c r="H402" i="1"/>
  <c r="H382" i="1"/>
  <c r="H363" i="1"/>
  <c r="H343" i="1"/>
  <c r="H323" i="1"/>
  <c r="H303" i="1"/>
  <c r="H284" i="1"/>
  <c r="H264" i="1"/>
  <c r="H244" i="1"/>
  <c r="H225" i="1"/>
  <c r="H205" i="1"/>
  <c r="H185" i="1"/>
  <c r="H166" i="1"/>
  <c r="H146" i="1"/>
  <c r="H126" i="1"/>
  <c r="H107" i="1"/>
  <c r="H87" i="1"/>
  <c r="H67" i="1"/>
  <c r="H47" i="1"/>
  <c r="H28" i="1"/>
  <c r="H8" i="1"/>
  <c r="H690" i="1"/>
  <c r="H674" i="1"/>
  <c r="H657" i="1"/>
  <c r="H637" i="1"/>
  <c r="H617" i="1"/>
  <c r="H598" i="1"/>
  <c r="H578" i="1"/>
  <c r="H558" i="1"/>
  <c r="H539" i="1"/>
  <c r="H519" i="1"/>
  <c r="H499" i="1"/>
  <c r="H479" i="1"/>
  <c r="H460" i="1"/>
  <c r="H440" i="1"/>
  <c r="H420" i="1"/>
  <c r="H401" i="1"/>
  <c r="H381" i="1"/>
  <c r="H361" i="1"/>
  <c r="H342" i="1"/>
  <c r="H322" i="1"/>
  <c r="H302" i="1"/>
  <c r="H283" i="1"/>
  <c r="H263" i="1"/>
  <c r="H243" i="1"/>
  <c r="H223" i="1"/>
  <c r="H204" i="1"/>
  <c r="H184" i="1"/>
  <c r="H164" i="1"/>
  <c r="H145" i="1"/>
  <c r="H125" i="1"/>
  <c r="H105" i="1"/>
  <c r="H86" i="1"/>
  <c r="H66" i="1"/>
  <c r="H46" i="1"/>
  <c r="H27" i="1"/>
  <c r="H7" i="1"/>
  <c r="H689" i="1"/>
  <c r="H673" i="1"/>
  <c r="H655" i="1"/>
  <c r="H636" i="1"/>
  <c r="H616" i="1"/>
  <c r="H596" i="1"/>
  <c r="H577" i="1"/>
  <c r="H557" i="1"/>
  <c r="H537" i="1"/>
  <c r="H518" i="1"/>
  <c r="H498" i="1"/>
  <c r="H478" i="1"/>
  <c r="H459" i="1"/>
  <c r="H439" i="1"/>
  <c r="H419" i="1"/>
  <c r="H399" i="1"/>
  <c r="H380" i="1"/>
  <c r="H360" i="1"/>
  <c r="H340" i="1"/>
  <c r="H321" i="1"/>
  <c r="H301" i="1"/>
  <c r="H281" i="1"/>
  <c r="H262" i="1"/>
  <c r="H242" i="1"/>
  <c r="H222" i="1"/>
  <c r="H203" i="1"/>
  <c r="H183" i="1"/>
  <c r="H163" i="1"/>
  <c r="H143" i="1"/>
  <c r="H124" i="1"/>
  <c r="H104" i="1"/>
  <c r="H84" i="1"/>
  <c r="H65" i="1"/>
  <c r="H45" i="1"/>
  <c r="H25" i="1"/>
  <c r="H6" i="1"/>
  <c r="H688" i="1"/>
  <c r="H672" i="1"/>
  <c r="H654" i="1"/>
  <c r="H635" i="1"/>
  <c r="H615" i="1"/>
  <c r="H595" i="1"/>
  <c r="H575" i="1"/>
  <c r="H556" i="1"/>
  <c r="H536" i="1"/>
  <c r="H516" i="1"/>
  <c r="H497" i="1"/>
  <c r="H477" i="1"/>
  <c r="H457" i="1"/>
  <c r="H438" i="1"/>
  <c r="H418" i="1"/>
  <c r="H398" i="1"/>
  <c r="H379" i="1"/>
  <c r="H359" i="1"/>
  <c r="H339" i="1"/>
  <c r="H319" i="1"/>
  <c r="H300" i="1"/>
  <c r="H280" i="1"/>
  <c r="H260" i="1"/>
  <c r="H241" i="1"/>
  <c r="H221" i="1"/>
  <c r="H201" i="1"/>
  <c r="H182" i="1"/>
  <c r="H162" i="1"/>
  <c r="H142" i="1"/>
  <c r="H123" i="1"/>
  <c r="H103" i="1"/>
  <c r="H83" i="1"/>
  <c r="H63" i="1"/>
  <c r="H44" i="1"/>
  <c r="H24" i="1"/>
  <c r="H4" i="1"/>
  <c r="K645" i="1"/>
  <c r="H645" i="1"/>
  <c r="K629" i="1"/>
  <c r="H629" i="1"/>
  <c r="K613" i="1"/>
  <c r="H613" i="1"/>
  <c r="K597" i="1"/>
  <c r="H597" i="1"/>
  <c r="K581" i="1"/>
  <c r="H581" i="1"/>
  <c r="K565" i="1"/>
  <c r="H565" i="1"/>
  <c r="K549" i="1"/>
  <c r="H549" i="1"/>
  <c r="K533" i="1"/>
  <c r="H533" i="1"/>
  <c r="K517" i="1"/>
  <c r="H517" i="1"/>
  <c r="K501" i="1"/>
  <c r="H501" i="1"/>
  <c r="K485" i="1"/>
  <c r="H485" i="1"/>
  <c r="K469" i="1"/>
  <c r="H469" i="1"/>
  <c r="K453" i="1"/>
  <c r="H453" i="1"/>
  <c r="K437" i="1"/>
  <c r="H437" i="1"/>
  <c r="K421" i="1"/>
  <c r="H421" i="1"/>
  <c r="K405" i="1"/>
  <c r="H405" i="1"/>
  <c r="K389" i="1"/>
  <c r="H389" i="1"/>
  <c r="K373" i="1"/>
  <c r="H373" i="1"/>
  <c r="K357" i="1"/>
  <c r="H357" i="1"/>
  <c r="K341" i="1"/>
  <c r="H341" i="1"/>
  <c r="K325" i="1"/>
  <c r="H325" i="1"/>
  <c r="K309" i="1"/>
  <c r="H309" i="1"/>
  <c r="K293" i="1"/>
  <c r="H293" i="1"/>
  <c r="K277" i="1"/>
  <c r="H277" i="1"/>
  <c r="K261" i="1"/>
  <c r="H261" i="1"/>
  <c r="K245" i="1"/>
  <c r="H245" i="1"/>
  <c r="K229" i="1"/>
  <c r="H229" i="1"/>
  <c r="K213" i="1"/>
  <c r="H213" i="1"/>
  <c r="K197" i="1"/>
  <c r="H197" i="1"/>
  <c r="K181" i="1"/>
  <c r="H181" i="1"/>
  <c r="K165" i="1"/>
  <c r="H165" i="1"/>
  <c r="K149" i="1"/>
  <c r="H149" i="1"/>
  <c r="K133" i="1"/>
  <c r="H133" i="1"/>
  <c r="K117" i="1"/>
  <c r="H117" i="1"/>
  <c r="K101" i="1"/>
  <c r="H101" i="1"/>
  <c r="K85" i="1"/>
  <c r="H85" i="1"/>
  <c r="K69" i="1"/>
  <c r="H69" i="1"/>
  <c r="K53" i="1"/>
  <c r="H53" i="1"/>
  <c r="K37" i="1"/>
  <c r="H37" i="1"/>
  <c r="K21" i="1"/>
  <c r="H21" i="1"/>
  <c r="K5" i="1"/>
  <c r="H5" i="1"/>
  <c r="H687" i="1"/>
  <c r="H671" i="1"/>
  <c r="H653" i="1"/>
  <c r="H633" i="1"/>
  <c r="H614" i="1"/>
  <c r="H594" i="1"/>
  <c r="H574" i="1"/>
  <c r="H555" i="1"/>
  <c r="H535" i="1"/>
  <c r="H515" i="1"/>
  <c r="H495" i="1"/>
  <c r="H476" i="1"/>
  <c r="H456" i="1"/>
  <c r="H436" i="1"/>
  <c r="H417" i="1"/>
  <c r="H397" i="1"/>
  <c r="H377" i="1"/>
  <c r="H358" i="1"/>
  <c r="H338" i="1"/>
  <c r="H318" i="1"/>
  <c r="H299" i="1"/>
  <c r="H279" i="1"/>
  <c r="H259" i="1"/>
  <c r="H239" i="1"/>
  <c r="H220" i="1"/>
  <c r="H200" i="1"/>
  <c r="H180" i="1"/>
  <c r="H161" i="1"/>
  <c r="H141" i="1"/>
  <c r="H121" i="1"/>
  <c r="H102" i="1"/>
  <c r="H82" i="1"/>
  <c r="H62" i="1"/>
  <c r="H43" i="1"/>
  <c r="H23" i="1"/>
  <c r="H3" i="1"/>
  <c r="H2" i="1"/>
  <c r="H686" i="1"/>
  <c r="H670" i="1"/>
  <c r="H652" i="1"/>
  <c r="H632" i="1"/>
  <c r="H612" i="1"/>
  <c r="H593" i="1"/>
  <c r="H573" i="1"/>
  <c r="H553" i="1"/>
  <c r="H534" i="1"/>
  <c r="H514" i="1"/>
  <c r="H494" i="1"/>
  <c r="H475" i="1"/>
  <c r="H455" i="1"/>
  <c r="H435" i="1"/>
  <c r="H415" i="1"/>
  <c r="H396" i="1"/>
  <c r="H376" i="1"/>
  <c r="H356" i="1"/>
  <c r="H337" i="1"/>
  <c r="H317" i="1"/>
  <c r="H297" i="1"/>
  <c r="H278" i="1"/>
  <c r="H258" i="1"/>
  <c r="H238" i="1"/>
  <c r="H219" i="1"/>
  <c r="H199" i="1"/>
  <c r="H179" i="1"/>
  <c r="H159" i="1"/>
  <c r="H140" i="1"/>
  <c r="H120" i="1"/>
  <c r="H100" i="1"/>
  <c r="H81" i="1"/>
  <c r="H61" i="1"/>
  <c r="H41" i="1"/>
  <c r="H22" i="1"/>
  <c r="H701" i="1"/>
  <c r="H685" i="1"/>
  <c r="H669" i="1"/>
  <c r="H651" i="1"/>
  <c r="H631" i="1"/>
  <c r="H611" i="1"/>
  <c r="H591" i="1"/>
  <c r="H572" i="1"/>
  <c r="H552" i="1"/>
  <c r="H532" i="1"/>
  <c r="H513" i="1"/>
  <c r="H493" i="1"/>
  <c r="H473" i="1"/>
  <c r="H454" i="1"/>
  <c r="H434" i="1"/>
  <c r="H414" i="1"/>
  <c r="H395" i="1"/>
  <c r="H375" i="1"/>
  <c r="H355" i="1"/>
  <c r="H335" i="1"/>
  <c r="H316" i="1"/>
  <c r="H296" i="1"/>
  <c r="H276" i="1"/>
  <c r="H257" i="1"/>
  <c r="H237" i="1"/>
  <c r="H217" i="1"/>
  <c r="H198" i="1"/>
  <c r="H178" i="1"/>
  <c r="H158" i="1"/>
  <c r="H139" i="1"/>
  <c r="H119" i="1"/>
  <c r="H99" i="1"/>
  <c r="H79" i="1"/>
  <c r="H60" i="1"/>
  <c r="H40" i="1"/>
  <c r="H20" i="1"/>
  <c r="H700" i="1"/>
  <c r="H684" i="1"/>
  <c r="H668" i="1"/>
  <c r="H649" i="1"/>
  <c r="H630" i="1"/>
  <c r="H610" i="1"/>
  <c r="H590" i="1"/>
  <c r="H571" i="1"/>
  <c r="H551" i="1"/>
  <c r="H531" i="1"/>
  <c r="H511" i="1"/>
  <c r="H492" i="1"/>
  <c r="H472" i="1"/>
  <c r="H452" i="1"/>
  <c r="H433" i="1"/>
  <c r="H413" i="1"/>
  <c r="H393" i="1"/>
  <c r="H374" i="1"/>
  <c r="H354" i="1"/>
  <c r="H334" i="1"/>
  <c r="H315" i="1"/>
  <c r="H295" i="1"/>
  <c r="H275" i="1"/>
  <c r="H255" i="1"/>
  <c r="H236" i="1"/>
  <c r="H216" i="1"/>
  <c r="H196" i="1"/>
  <c r="H177" i="1"/>
  <c r="H157" i="1"/>
  <c r="H137" i="1"/>
  <c r="H118" i="1"/>
  <c r="H98" i="1"/>
  <c r="H78" i="1"/>
  <c r="H59" i="1"/>
  <c r="H39" i="1"/>
  <c r="H19" i="1"/>
  <c r="H699" i="1"/>
  <c r="H683" i="1"/>
  <c r="H667" i="1"/>
  <c r="H648" i="1"/>
  <c r="H628" i="1"/>
  <c r="H609" i="1"/>
  <c r="H589" i="1"/>
  <c r="H569" i="1"/>
  <c r="H550" i="1"/>
  <c r="H530" i="1"/>
  <c r="H510" i="1"/>
  <c r="H491" i="1"/>
  <c r="H471" i="1"/>
  <c r="H451" i="1"/>
  <c r="H431" i="1"/>
  <c r="H412" i="1"/>
  <c r="H392" i="1"/>
  <c r="H372" i="1"/>
  <c r="H353" i="1"/>
  <c r="H333" i="1"/>
  <c r="H313" i="1"/>
  <c r="H294" i="1"/>
  <c r="H274" i="1"/>
  <c r="H254" i="1"/>
  <c r="H235" i="1"/>
  <c r="H215" i="1"/>
  <c r="H195" i="1"/>
  <c r="H175" i="1"/>
  <c r="H156" i="1"/>
  <c r="H136" i="1"/>
  <c r="H116" i="1"/>
  <c r="H97" i="1"/>
  <c r="H77" i="1"/>
  <c r="H57" i="1"/>
  <c r="H38" i="1"/>
  <c r="H18" i="1"/>
  <c r="H656" i="1"/>
  <c r="K656" i="1"/>
  <c r="H640" i="1"/>
  <c r="K640" i="1"/>
  <c r="H624" i="1"/>
  <c r="K624" i="1"/>
  <c r="H608" i="1"/>
  <c r="K608" i="1"/>
  <c r="H592" i="1"/>
  <c r="K592" i="1"/>
  <c r="H576" i="1"/>
  <c r="K576" i="1"/>
  <c r="H560" i="1"/>
  <c r="K560" i="1"/>
  <c r="H544" i="1"/>
  <c r="K544" i="1"/>
  <c r="H528" i="1"/>
  <c r="K528" i="1"/>
  <c r="H512" i="1"/>
  <c r="K512" i="1"/>
  <c r="H496" i="1"/>
  <c r="K496" i="1"/>
  <c r="H480" i="1"/>
  <c r="K480" i="1"/>
  <c r="H464" i="1"/>
  <c r="K464" i="1"/>
  <c r="H448" i="1"/>
  <c r="K448" i="1"/>
  <c r="H432" i="1"/>
  <c r="K432" i="1"/>
  <c r="H416" i="1"/>
  <c r="K416" i="1"/>
  <c r="H400" i="1"/>
  <c r="K400" i="1"/>
  <c r="H384" i="1"/>
  <c r="K384" i="1"/>
  <c r="H368" i="1"/>
  <c r="K368" i="1"/>
  <c r="H352" i="1"/>
  <c r="K352" i="1"/>
  <c r="H336" i="1"/>
  <c r="K336" i="1"/>
  <c r="H320" i="1"/>
  <c r="K320" i="1"/>
  <c r="H304" i="1"/>
  <c r="K304" i="1"/>
  <c r="H288" i="1"/>
  <c r="K288" i="1"/>
  <c r="H272" i="1"/>
  <c r="K272" i="1"/>
  <c r="H256" i="1"/>
  <c r="K256" i="1"/>
  <c r="H240" i="1"/>
  <c r="K240" i="1"/>
  <c r="H224" i="1"/>
  <c r="K224" i="1"/>
  <c r="H208" i="1"/>
  <c r="K208" i="1"/>
  <c r="H192" i="1"/>
  <c r="K192" i="1"/>
  <c r="H176" i="1"/>
  <c r="K176" i="1"/>
  <c r="H160" i="1"/>
  <c r="K160" i="1"/>
  <c r="H144" i="1"/>
  <c r="K144" i="1"/>
  <c r="H128" i="1"/>
  <c r="K128" i="1"/>
  <c r="H112" i="1"/>
  <c r="K112" i="1"/>
  <c r="H96" i="1"/>
  <c r="K96" i="1"/>
  <c r="H80" i="1"/>
  <c r="K80" i="1"/>
  <c r="H64" i="1"/>
  <c r="K64" i="1"/>
  <c r="H48" i="1"/>
  <c r="K48" i="1"/>
  <c r="H32" i="1"/>
  <c r="K32" i="1"/>
  <c r="H16" i="1"/>
  <c r="K16" i="1"/>
  <c r="H698" i="1"/>
  <c r="H682" i="1"/>
  <c r="H665" i="1"/>
  <c r="H647" i="1"/>
  <c r="H627" i="1"/>
  <c r="H607" i="1"/>
  <c r="H588" i="1"/>
  <c r="H568" i="1"/>
  <c r="H548" i="1"/>
  <c r="H529" i="1"/>
  <c r="H509" i="1"/>
  <c r="H489" i="1"/>
  <c r="H470" i="1"/>
  <c r="H450" i="1"/>
  <c r="H430" i="1"/>
  <c r="H411" i="1"/>
  <c r="H391" i="1"/>
  <c r="H371" i="1"/>
  <c r="H351" i="1"/>
  <c r="H332" i="1"/>
  <c r="H312" i="1"/>
  <c r="H292" i="1"/>
  <c r="H273" i="1"/>
  <c r="H253" i="1"/>
  <c r="H233" i="1"/>
  <c r="H214" i="1"/>
  <c r="H194" i="1"/>
  <c r="H174" i="1"/>
  <c r="H155" i="1"/>
  <c r="H135" i="1"/>
  <c r="H115" i="1"/>
  <c r="H95" i="1"/>
  <c r="H76" i="1"/>
  <c r="H56" i="1"/>
  <c r="H36" i="1"/>
  <c r="H17" i="1"/>
  <c r="H697" i="1"/>
  <c r="H681" i="1"/>
  <c r="H664" i="1"/>
  <c r="H646" i="1"/>
  <c r="H626" i="1"/>
  <c r="H606" i="1"/>
  <c r="H587" i="1"/>
  <c r="H567" i="1"/>
  <c r="H547" i="1"/>
  <c r="H527" i="1"/>
  <c r="H508" i="1"/>
  <c r="H488" i="1"/>
  <c r="H468" i="1"/>
  <c r="H449" i="1"/>
  <c r="H429" i="1"/>
  <c r="H409" i="1"/>
  <c r="H390" i="1"/>
  <c r="H370" i="1"/>
  <c r="H350" i="1"/>
  <c r="H331" i="1"/>
  <c r="H311" i="1"/>
  <c r="H291" i="1"/>
  <c r="H271" i="1"/>
  <c r="H252" i="1"/>
  <c r="H232" i="1"/>
  <c r="H212" i="1"/>
  <c r="H193" i="1"/>
  <c r="H173" i="1"/>
  <c r="H153" i="1"/>
  <c r="H134" i="1"/>
  <c r="H114" i="1"/>
  <c r="H94" i="1"/>
  <c r="H75" i="1"/>
  <c r="H55" i="1"/>
  <c r="H35" i="1"/>
  <c r="H15" i="1"/>
  <c r="H696" i="1"/>
  <c r="H680" i="1"/>
  <c r="H663" i="1"/>
  <c r="H644" i="1"/>
  <c r="H625" i="1"/>
  <c r="H605" i="1"/>
  <c r="H585" i="1"/>
  <c r="H566" i="1"/>
  <c r="H546" i="1"/>
  <c r="H526" i="1"/>
  <c r="H507" i="1"/>
  <c r="H487" i="1"/>
  <c r="H467" i="1"/>
  <c r="H447" i="1"/>
  <c r="H428" i="1"/>
  <c r="H408" i="1"/>
  <c r="H388" i="1"/>
  <c r="H369" i="1"/>
  <c r="H349" i="1"/>
  <c r="H329" i="1"/>
  <c r="H310" i="1"/>
  <c r="H290" i="1"/>
  <c r="H270" i="1"/>
  <c r="H251" i="1"/>
  <c r="H231" i="1"/>
  <c r="H211" i="1"/>
  <c r="H191" i="1"/>
  <c r="H172" i="1"/>
  <c r="H152" i="1"/>
  <c r="H132" i="1"/>
  <c r="H113" i="1"/>
  <c r="H93" i="1"/>
  <c r="H73" i="1"/>
  <c r="H54" i="1"/>
  <c r="H34" i="1"/>
  <c r="H14" i="1"/>
  <c r="H695" i="1"/>
  <c r="H679" i="1"/>
  <c r="H662" i="1"/>
  <c r="H643" i="1"/>
  <c r="H623" i="1"/>
  <c r="H604" i="1"/>
  <c r="H584" i="1"/>
  <c r="H564" i="1"/>
  <c r="H545" i="1"/>
  <c r="H525" i="1"/>
  <c r="H505" i="1"/>
  <c r="H486" i="1"/>
  <c r="H466" i="1"/>
  <c r="H446" i="1"/>
  <c r="H427" i="1"/>
  <c r="H407" i="1"/>
  <c r="H387" i="1"/>
  <c r="H367" i="1"/>
  <c r="H348" i="1"/>
  <c r="H328" i="1"/>
  <c r="H308" i="1"/>
  <c r="H289" i="1"/>
  <c r="H269" i="1"/>
  <c r="H249" i="1"/>
  <c r="H230" i="1"/>
  <c r="H210" i="1"/>
  <c r="H190" i="1"/>
  <c r="H171" i="1"/>
  <c r="H151" i="1"/>
  <c r="H131" i="1"/>
  <c r="H111" i="1"/>
  <c r="H92" i="1"/>
  <c r="H72" i="1"/>
  <c r="H52" i="1"/>
  <c r="H33" i="1"/>
  <c r="H13" i="1"/>
  <c r="H694" i="1"/>
  <c r="H678" i="1"/>
  <c r="H661" i="1"/>
  <c r="H642" i="1"/>
  <c r="H622" i="1"/>
  <c r="H603" i="1"/>
  <c r="H583" i="1"/>
  <c r="H563" i="1"/>
  <c r="H543" i="1"/>
  <c r="H524" i="1"/>
  <c r="H504" i="1"/>
  <c r="H484" i="1"/>
  <c r="H465" i="1"/>
  <c r="H445" i="1"/>
  <c r="H425" i="1"/>
  <c r="H406" i="1"/>
  <c r="H386" i="1"/>
  <c r="H366" i="1"/>
  <c r="H347" i="1"/>
  <c r="H327" i="1"/>
  <c r="H307" i="1"/>
  <c r="H287" i="1"/>
  <c r="H268" i="1"/>
  <c r="H248" i="1"/>
  <c r="H228" i="1"/>
  <c r="H209" i="1"/>
  <c r="H189" i="1"/>
  <c r="H169" i="1"/>
  <c r="H150" i="1"/>
  <c r="H130" i="1"/>
  <c r="H110" i="1"/>
  <c r="H91" i="1"/>
  <c r="H71" i="1"/>
  <c r="H51" i="1"/>
  <c r="H31" i="1"/>
  <c r="H12" i="1"/>
  <c r="H693" i="1"/>
  <c r="H677" i="1"/>
  <c r="H660" i="1"/>
  <c r="H641" i="1"/>
  <c r="H621" i="1"/>
  <c r="H601" i="1"/>
  <c r="H582" i="1"/>
  <c r="H562" i="1"/>
  <c r="H542" i="1"/>
  <c r="H523" i="1"/>
  <c r="H503" i="1"/>
  <c r="H483" i="1"/>
  <c r="H463" i="1"/>
  <c r="H444" i="1"/>
  <c r="H424" i="1"/>
  <c r="H404" i="1"/>
  <c r="H385" i="1"/>
  <c r="H365" i="1"/>
  <c r="H345" i="1"/>
  <c r="H326" i="1"/>
  <c r="H306" i="1"/>
  <c r="H286" i="1"/>
  <c r="H267" i="1"/>
  <c r="H247" i="1"/>
  <c r="H227" i="1"/>
  <c r="H207" i="1"/>
  <c r="H188" i="1"/>
  <c r="H168" i="1"/>
  <c r="H148" i="1"/>
  <c r="H129" i="1"/>
  <c r="H109" i="1"/>
  <c r="H89" i="1"/>
  <c r="H70" i="1"/>
  <c r="H50" i="1"/>
  <c r="H30" i="1"/>
  <c r="H11" i="1"/>
  <c r="K666" i="1"/>
  <c r="H666" i="1"/>
  <c r="K650" i="1"/>
  <c r="H650" i="1"/>
  <c r="K634" i="1"/>
  <c r="H634" i="1"/>
  <c r="K618" i="1"/>
  <c r="H618" i="1"/>
  <c r="K602" i="1"/>
  <c r="H602" i="1"/>
  <c r="K586" i="1"/>
  <c r="H586" i="1"/>
  <c r="K570" i="1"/>
  <c r="H570" i="1"/>
  <c r="K554" i="1"/>
  <c r="H554" i="1"/>
  <c r="K538" i="1"/>
  <c r="H538" i="1"/>
  <c r="K522" i="1"/>
  <c r="H522" i="1"/>
  <c r="K506" i="1"/>
  <c r="H506" i="1"/>
  <c r="K490" i="1"/>
  <c r="H490" i="1"/>
  <c r="K474" i="1"/>
  <c r="H474" i="1"/>
  <c r="K458" i="1"/>
  <c r="H458" i="1"/>
  <c r="K442" i="1"/>
  <c r="H442" i="1"/>
  <c r="K426" i="1"/>
  <c r="H426" i="1"/>
  <c r="K410" i="1"/>
  <c r="H410" i="1"/>
  <c r="K394" i="1"/>
  <c r="H394" i="1"/>
  <c r="K378" i="1"/>
  <c r="H378" i="1"/>
  <c r="K362" i="1"/>
  <c r="H362" i="1"/>
  <c r="K346" i="1"/>
  <c r="H346" i="1"/>
  <c r="K330" i="1"/>
  <c r="H330" i="1"/>
  <c r="K314" i="1"/>
  <c r="H314" i="1"/>
  <c r="K298" i="1"/>
  <c r="H298" i="1"/>
  <c r="K282" i="1"/>
  <c r="H282" i="1"/>
  <c r="K266" i="1"/>
  <c r="H266" i="1"/>
  <c r="K250" i="1"/>
  <c r="H250" i="1"/>
  <c r="K234" i="1"/>
  <c r="H234" i="1"/>
  <c r="K218" i="1"/>
  <c r="H218" i="1"/>
  <c r="K202" i="1"/>
  <c r="H202" i="1"/>
  <c r="K186" i="1"/>
  <c r="H186" i="1"/>
  <c r="K170" i="1"/>
  <c r="H170" i="1"/>
  <c r="K154" i="1"/>
  <c r="H154" i="1"/>
  <c r="K138" i="1"/>
  <c r="H138" i="1"/>
  <c r="K122" i="1"/>
  <c r="H122" i="1"/>
  <c r="K106" i="1"/>
  <c r="H106" i="1"/>
  <c r="K90" i="1"/>
  <c r="H90" i="1"/>
  <c r="K74" i="1"/>
  <c r="H74" i="1"/>
  <c r="K58" i="1"/>
  <c r="H58" i="1"/>
  <c r="K42" i="1"/>
  <c r="H42" i="1"/>
  <c r="K26" i="1"/>
  <c r="H26" i="1"/>
  <c r="K10" i="1"/>
  <c r="H10" i="1"/>
  <c r="H692" i="1"/>
  <c r="H676" i="1"/>
  <c r="H659" i="1"/>
  <c r="H639" i="1"/>
  <c r="H620" i="1"/>
  <c r="H600" i="1"/>
  <c r="H580" i="1"/>
  <c r="H561" i="1"/>
  <c r="H541" i="1"/>
  <c r="H521" i="1"/>
  <c r="H502" i="1"/>
  <c r="H482" i="1"/>
  <c r="H462" i="1"/>
  <c r="H443" i="1"/>
  <c r="H423" i="1"/>
  <c r="H403" i="1"/>
  <c r="H383" i="1"/>
  <c r="H364" i="1"/>
  <c r="H344" i="1"/>
  <c r="H324" i="1"/>
  <c r="H305" i="1"/>
  <c r="H285" i="1"/>
  <c r="H265" i="1"/>
  <c r="H246" i="1"/>
  <c r="H226" i="1"/>
  <c r="H206" i="1"/>
  <c r="H187" i="1"/>
  <c r="H167" i="1"/>
  <c r="H147" i="1"/>
  <c r="H127" i="1"/>
  <c r="H108" i="1"/>
  <c r="H88" i="1"/>
  <c r="H68" i="1"/>
  <c r="H49" i="1"/>
  <c r="H29" i="1"/>
  <c r="H9" i="1"/>
  <c r="B3" i="3" l="1" a="1"/>
  <c r="B3" i="3" s="1"/>
  <c r="A3" i="3" a="1"/>
  <c r="A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<sst xmlns="http://schemas.openxmlformats.org/spreadsheetml/2006/main" count="8501" uniqueCount="1408">
  <si>
    <t>NIM</t>
  </si>
  <si>
    <t>Nama</t>
  </si>
  <si>
    <t>IPK</t>
  </si>
  <si>
    <t xml:space="preserve">Status </t>
  </si>
  <si>
    <t>Semester</t>
  </si>
  <si>
    <t>Fakultas</t>
  </si>
  <si>
    <t>Jurusan</t>
  </si>
  <si>
    <t>Nilai Terendah</t>
  </si>
  <si>
    <t>Mata Kuliah 1 (4 sks)</t>
  </si>
  <si>
    <t>Mata kuliah 2 (4 sks)</t>
  </si>
  <si>
    <t>Mata kuliah 3 (2 sks)</t>
  </si>
  <si>
    <t>Mata kuliah 4 (3 sks)</t>
  </si>
  <si>
    <t>Mata kuliah 5 (2 sks)</t>
  </si>
  <si>
    <t>Mata kuliah 6 (2 sks)</t>
  </si>
  <si>
    <t>Mata kuliah 7 (3 sks)</t>
  </si>
  <si>
    <t>Mata kuliah 8 ( 4 sks)</t>
  </si>
  <si>
    <t>Kode</t>
  </si>
  <si>
    <t>A1</t>
  </si>
  <si>
    <t>A2</t>
  </si>
  <si>
    <t>A3</t>
  </si>
  <si>
    <t>A4</t>
  </si>
  <si>
    <t>A5</t>
  </si>
  <si>
    <t>Sains</t>
  </si>
  <si>
    <t>Teknik</t>
  </si>
  <si>
    <t>Ekonomi</t>
  </si>
  <si>
    <t>Pertanian</t>
  </si>
  <si>
    <t>Ilmu Sosial</t>
  </si>
  <si>
    <t>Statistika</t>
  </si>
  <si>
    <t>Matematika</t>
  </si>
  <si>
    <t>Biologi</t>
  </si>
  <si>
    <t>Teknik Industri</t>
  </si>
  <si>
    <t>Teknik Informatika</t>
  </si>
  <si>
    <t xml:space="preserve"> Akuntansi</t>
  </si>
  <si>
    <t>Manajemen</t>
  </si>
  <si>
    <t>Ekonomi Pembangunan</t>
  </si>
  <si>
    <t>Agroteknologi</t>
  </si>
  <si>
    <t>Agribisnis</t>
  </si>
  <si>
    <t>Administrasi Publik</t>
  </si>
  <si>
    <t xml:space="preserve"> Ilmu Komunikasi</t>
  </si>
  <si>
    <t>Sosiologi</t>
  </si>
  <si>
    <t>Kode Jurusan</t>
  </si>
  <si>
    <t>Jenis Kelamin</t>
  </si>
  <si>
    <t>Angkatan</t>
  </si>
  <si>
    <t>C</t>
  </si>
  <si>
    <t>Jalur Masuk</t>
  </si>
  <si>
    <t>Tes</t>
  </si>
  <si>
    <t>Raport</t>
  </si>
  <si>
    <t>Mandiri</t>
  </si>
  <si>
    <t>T</t>
  </si>
  <si>
    <t>R</t>
  </si>
  <si>
    <t>M</t>
  </si>
  <si>
    <t>25T-A11-0001</t>
  </si>
  <si>
    <t>25M-A11-0001</t>
  </si>
  <si>
    <t>25M-A11-0002</t>
  </si>
  <si>
    <t>25M-A11-0003</t>
  </si>
  <si>
    <t>25M-A11-0004</t>
  </si>
  <si>
    <t>25M-A11-0005</t>
  </si>
  <si>
    <t>25M-A11-0006</t>
  </si>
  <si>
    <t>25M-A11-0007</t>
  </si>
  <si>
    <t>25M-A11-0008</t>
  </si>
  <si>
    <t>25M-A11-0009</t>
  </si>
  <si>
    <t>25M-A11-0010</t>
  </si>
  <si>
    <t>25M-A11-0011</t>
  </si>
  <si>
    <t>25M-A11-0012</t>
  </si>
  <si>
    <t>25M-A11-0013</t>
  </si>
  <si>
    <t>25M-A11-0014</t>
  </si>
  <si>
    <t>25M-A11-0015</t>
  </si>
  <si>
    <t>25M-A11-0016</t>
  </si>
  <si>
    <t>25M-A12-0001</t>
  </si>
  <si>
    <t>25M-A12-0002</t>
  </si>
  <si>
    <t>25M-A12-0003</t>
  </si>
  <si>
    <t>25M-A12-0004</t>
  </si>
  <si>
    <t>25M-A12-0005</t>
  </si>
  <si>
    <t>25M-A12-0006</t>
  </si>
  <si>
    <t>25M-A12-0007</t>
  </si>
  <si>
    <t>25M-A12-0008</t>
  </si>
  <si>
    <t>25M-A12-0009</t>
  </si>
  <si>
    <t>25M-A12-0010</t>
  </si>
  <si>
    <t>25M-A12-0011</t>
  </si>
  <si>
    <t>25M-A12-0012</t>
  </si>
  <si>
    <t>25M-A12-0013</t>
  </si>
  <si>
    <t>25M-A12-0014</t>
  </si>
  <si>
    <t>25M-A12-0015</t>
  </si>
  <si>
    <t>25M-A12-0016</t>
  </si>
  <si>
    <t>25M-A12-0017</t>
  </si>
  <si>
    <t>25M-A12-0018</t>
  </si>
  <si>
    <t>25M-A12-0019</t>
  </si>
  <si>
    <t>25M-A12-0020</t>
  </si>
  <si>
    <t>25M-A12-0021</t>
  </si>
  <si>
    <t>25M-A12-0022</t>
  </si>
  <si>
    <t>25M-A12-0023</t>
  </si>
  <si>
    <t>25M-A12-0024</t>
  </si>
  <si>
    <t>25M-A12-0025</t>
  </si>
  <si>
    <t>25M-A12-0026</t>
  </si>
  <si>
    <t>25M-A12-0027</t>
  </si>
  <si>
    <t>25M-A13-0001</t>
  </si>
  <si>
    <t>25M-A13-0002</t>
  </si>
  <si>
    <t>25M-A13-0003</t>
  </si>
  <si>
    <t>25M-A13-0004</t>
  </si>
  <si>
    <t>25M-A13-0005</t>
  </si>
  <si>
    <t>25M-A13-0006</t>
  </si>
  <si>
    <t>25M-A13-0007</t>
  </si>
  <si>
    <t>25M-A13-0008</t>
  </si>
  <si>
    <t>25M-A13-0009</t>
  </si>
  <si>
    <t>25M-A13-0010</t>
  </si>
  <si>
    <t>25M-A13-0011</t>
  </si>
  <si>
    <t>25M-A13-0012</t>
  </si>
  <si>
    <t>25M-A13-0013</t>
  </si>
  <si>
    <t>25M-A13-0014</t>
  </si>
  <si>
    <t>25M-A13-0015</t>
  </si>
  <si>
    <t>25M-A21-0001</t>
  </si>
  <si>
    <t>25M-A21-0002</t>
  </si>
  <si>
    <t>25M-A21-0003</t>
  </si>
  <si>
    <t>25M-A21-0004</t>
  </si>
  <si>
    <t>25M-A21-0005</t>
  </si>
  <si>
    <t>25M-A21-0006</t>
  </si>
  <si>
    <t>25M-A21-0007</t>
  </si>
  <si>
    <t>25M-A21-0008</t>
  </si>
  <si>
    <t>25M-A21-0009</t>
  </si>
  <si>
    <t>25M-A21-0010</t>
  </si>
  <si>
    <t>25M-A21-0011</t>
  </si>
  <si>
    <t>25M-A21-0012</t>
  </si>
  <si>
    <t>25M-A21-0013</t>
  </si>
  <si>
    <t>25M-A21-0014</t>
  </si>
  <si>
    <t>25M-A21-0015</t>
  </si>
  <si>
    <t>25M-A21-0016</t>
  </si>
  <si>
    <t>25M-A22-0001</t>
  </si>
  <si>
    <t>25M-A22-0002</t>
  </si>
  <si>
    <t>25M-A22-0003</t>
  </si>
  <si>
    <t>25M-A22-0004</t>
  </si>
  <si>
    <t>25M-A22-0005</t>
  </si>
  <si>
    <t>25M-A22-0006</t>
  </si>
  <si>
    <t>25M-A22-0007</t>
  </si>
  <si>
    <t>25M-A22-0008</t>
  </si>
  <si>
    <t>25M-A22-0009</t>
  </si>
  <si>
    <t>25M-A22-0010</t>
  </si>
  <si>
    <t>25M-A22-0011</t>
  </si>
  <si>
    <t>25M-A22-0012</t>
  </si>
  <si>
    <t>25M-A22-0013</t>
  </si>
  <si>
    <t>25M-A22-0014</t>
  </si>
  <si>
    <t>25M-A22-0015</t>
  </si>
  <si>
    <t>25M-A22-0016</t>
  </si>
  <si>
    <t>25M-A22-0017</t>
  </si>
  <si>
    <t>25M-A31-0001</t>
  </si>
  <si>
    <t>25M-A31-0002</t>
  </si>
  <si>
    <t>25M-A31-0003</t>
  </si>
  <si>
    <t>25M-A31-0004</t>
  </si>
  <si>
    <t>25M-A31-0005</t>
  </si>
  <si>
    <t>25M-A31-0006</t>
  </si>
  <si>
    <t>25M-A31-0007</t>
  </si>
  <si>
    <t>25M-A31-0008</t>
  </si>
  <si>
    <t>25M-A31-0009</t>
  </si>
  <si>
    <t>25M-A31-0010</t>
  </si>
  <si>
    <t>25M-A31-0011</t>
  </si>
  <si>
    <t>25M-A31-0012</t>
  </si>
  <si>
    <t>25M-A31-0013</t>
  </si>
  <si>
    <t>25M-A31-0014</t>
  </si>
  <si>
    <t>25M-A31-0015</t>
  </si>
  <si>
    <t>25M-A31-0016</t>
  </si>
  <si>
    <t>25M-A31-0017</t>
  </si>
  <si>
    <t>25M-A32-0001</t>
  </si>
  <si>
    <t>25M-A32-0002</t>
  </si>
  <si>
    <t>25M-A32-0003</t>
  </si>
  <si>
    <t>25M-A32-0004</t>
  </si>
  <si>
    <t>25M-A32-0005</t>
  </si>
  <si>
    <t>25M-A32-0006</t>
  </si>
  <si>
    <t>25M-A32-0007</t>
  </si>
  <si>
    <t>25M-A32-0008</t>
  </si>
  <si>
    <t>25M-A32-0009</t>
  </si>
  <si>
    <t>25M-A32-0010</t>
  </si>
  <si>
    <t>25M-A32-0011</t>
  </si>
  <si>
    <t>25M-A32-0012</t>
  </si>
  <si>
    <t>25M-A32-0013</t>
  </si>
  <si>
    <t>25M-A32-0014</t>
  </si>
  <si>
    <t>25M-A32-0015</t>
  </si>
  <si>
    <t>25M-A32-0016</t>
  </si>
  <si>
    <t>25M-A32-0017</t>
  </si>
  <si>
    <t>25M-A32-0018</t>
  </si>
  <si>
    <t>25M-A32-0019</t>
  </si>
  <si>
    <t>25M-A32-0020</t>
  </si>
  <si>
    <t>25M-A32-0021</t>
  </si>
  <si>
    <t>25M-A32-0022</t>
  </si>
  <si>
    <t>25M-A33-0001</t>
  </si>
  <si>
    <t>25M-A33-0002</t>
  </si>
  <si>
    <t>25M-A33-0003</t>
  </si>
  <si>
    <t>25M-A33-0004</t>
  </si>
  <si>
    <t>25M-A33-0005</t>
  </si>
  <si>
    <t>25M-A33-0006</t>
  </si>
  <si>
    <t>25M-A33-0007</t>
  </si>
  <si>
    <t>25M-A33-0008</t>
  </si>
  <si>
    <t>25M-A33-0009</t>
  </si>
  <si>
    <t>25M-A33-0010</t>
  </si>
  <si>
    <t>25M-A33-0011</t>
  </si>
  <si>
    <t>25M-A33-0012</t>
  </si>
  <si>
    <t>25M-A33-0013</t>
  </si>
  <si>
    <t>25M-A33-0014</t>
  </si>
  <si>
    <t>25M-A33-0015</t>
  </si>
  <si>
    <t>25M-A33-0016</t>
  </si>
  <si>
    <t>25M-A41-0001</t>
  </si>
  <si>
    <t>25M-A41-0002</t>
  </si>
  <si>
    <t>25M-A41-0003</t>
  </si>
  <si>
    <t>25M-A41-0004</t>
  </si>
  <si>
    <t>25M-A41-0005</t>
  </si>
  <si>
    <t>25M-A41-0006</t>
  </si>
  <si>
    <t>25M-A41-0007</t>
  </si>
  <si>
    <t>25M-A41-0008</t>
  </si>
  <si>
    <t>25M-A41-0009</t>
  </si>
  <si>
    <t>25M-A41-0010</t>
  </si>
  <si>
    <t>25M-A41-0011</t>
  </si>
  <si>
    <t>25M-A41-0012</t>
  </si>
  <si>
    <t>25M-A41-0013</t>
  </si>
  <si>
    <t>25M-A41-0014</t>
  </si>
  <si>
    <t>25M-A41-0015</t>
  </si>
  <si>
    <t>25M-A42-0001</t>
  </si>
  <si>
    <t>25M-A42-0002</t>
  </si>
  <si>
    <t>25M-A42-0003</t>
  </si>
  <si>
    <t>25M-A42-0004</t>
  </si>
  <si>
    <t>25M-A42-0005</t>
  </si>
  <si>
    <t>25M-A42-0006</t>
  </si>
  <si>
    <t>25M-A42-0007</t>
  </si>
  <si>
    <t>25M-A42-0008</t>
  </si>
  <si>
    <t>25M-A42-0009</t>
  </si>
  <si>
    <t>25M-A42-0010</t>
  </si>
  <si>
    <t>25M-A42-0011</t>
  </si>
  <si>
    <t>25M-A42-0012</t>
  </si>
  <si>
    <t>25M-A42-0013</t>
  </si>
  <si>
    <t>25M-A42-0014</t>
  </si>
  <si>
    <t>25M-A42-0015</t>
  </si>
  <si>
    <t>25M-A42-0016</t>
  </si>
  <si>
    <t>25M-A42-0017</t>
  </si>
  <si>
    <t>25M-A42-0018</t>
  </si>
  <si>
    <t>25M-A51-0001</t>
  </si>
  <si>
    <t>25M-A51-0002</t>
  </si>
  <si>
    <t>25M-A51-0003</t>
  </si>
  <si>
    <t>25M-A51-0004</t>
  </si>
  <si>
    <t>25M-A51-0005</t>
  </si>
  <si>
    <t>25M-A51-0006</t>
  </si>
  <si>
    <t>25M-A51-0007</t>
  </si>
  <si>
    <t>25M-A51-0008</t>
  </si>
  <si>
    <t>25M-A51-0009</t>
  </si>
  <si>
    <t>25M-A51-0010</t>
  </si>
  <si>
    <t>25M-A51-0011</t>
  </si>
  <si>
    <t>25M-A51-0012</t>
  </si>
  <si>
    <t>25M-A51-0013</t>
  </si>
  <si>
    <t>25M-A51-0014</t>
  </si>
  <si>
    <t>25M-A51-0015</t>
  </si>
  <si>
    <t>25M-A51-0016</t>
  </si>
  <si>
    <t>25M-A51-0017</t>
  </si>
  <si>
    <t>25M-A51-0018</t>
  </si>
  <si>
    <t>25M-A51-0019</t>
  </si>
  <si>
    <t>25M-A51-0020</t>
  </si>
  <si>
    <t>25M-A51-0021</t>
  </si>
  <si>
    <t>25M-A51-0022</t>
  </si>
  <si>
    <t>25M-A51-0023</t>
  </si>
  <si>
    <t>25M-A51-0024</t>
  </si>
  <si>
    <t>25M-A52-0001</t>
  </si>
  <si>
    <t>25M-A52-0002</t>
  </si>
  <si>
    <t>25M-A52-0003</t>
  </si>
  <si>
    <t>25M-A52-0004</t>
  </si>
  <si>
    <t>25M-A52-0005</t>
  </si>
  <si>
    <t>25M-A52-0006</t>
  </si>
  <si>
    <t>25M-A52-0007</t>
  </si>
  <si>
    <t>25M-A52-0008</t>
  </si>
  <si>
    <t>25M-A52-0009</t>
  </si>
  <si>
    <t>25M-A52-0010</t>
  </si>
  <si>
    <t>25M-A52-0011</t>
  </si>
  <si>
    <t>25M-A52-0012</t>
  </si>
  <si>
    <t>25M-A53-0001</t>
  </si>
  <si>
    <t>25M-A53-0002</t>
  </si>
  <si>
    <t>25M-A53-0003</t>
  </si>
  <si>
    <t>25M-A53-0004</t>
  </si>
  <si>
    <t>25M-A53-0005</t>
  </si>
  <si>
    <t>25M-A53-0006</t>
  </si>
  <si>
    <t>25M-A53-0007</t>
  </si>
  <si>
    <t>25M-A53-0008</t>
  </si>
  <si>
    <t>25M-A53-0009</t>
  </si>
  <si>
    <t>25M-A53-0010</t>
  </si>
  <si>
    <t>25M-A53-0011</t>
  </si>
  <si>
    <t>25M-A53-0012</t>
  </si>
  <si>
    <t>25M-A53-0013</t>
  </si>
  <si>
    <t>25M-A53-0014</t>
  </si>
  <si>
    <t>25M-A53-0015</t>
  </si>
  <si>
    <t>25M-A53-0016</t>
  </si>
  <si>
    <t>25M-A53-0017</t>
  </si>
  <si>
    <t>25M-A53-0018</t>
  </si>
  <si>
    <t>25M-A53-0019</t>
  </si>
  <si>
    <t>25M-A53-0020</t>
  </si>
  <si>
    <t>25M-A53-0021</t>
  </si>
  <si>
    <t>25M-A53-0022</t>
  </si>
  <si>
    <t>25M-A53-0023</t>
  </si>
  <si>
    <t>25M-A53-0024</t>
  </si>
  <si>
    <t>25M-A53-0025</t>
  </si>
  <si>
    <t>25M-A53-0026</t>
  </si>
  <si>
    <t>25M-A53-0027</t>
  </si>
  <si>
    <t>25M-A53-0028</t>
  </si>
  <si>
    <t>25M-A53-0029</t>
  </si>
  <si>
    <t>25M-A53-0030</t>
  </si>
  <si>
    <t>25M-A53-0031</t>
  </si>
  <si>
    <t>25M-A53-0032</t>
  </si>
  <si>
    <t>25R-A11-0001</t>
  </si>
  <si>
    <t>25R-A11-0002</t>
  </si>
  <si>
    <t>25R-A11-0003</t>
  </si>
  <si>
    <t>25R-A11-0004</t>
  </si>
  <si>
    <t>25R-A11-0005</t>
  </si>
  <si>
    <t>25R-A11-0006</t>
  </si>
  <si>
    <t>25R-A11-0007</t>
  </si>
  <si>
    <t>25R-A11-0008</t>
  </si>
  <si>
    <t>25R-A11-0009</t>
  </si>
  <si>
    <t>25R-A11-0010</t>
  </si>
  <si>
    <t>25R-A11-0011</t>
  </si>
  <si>
    <t>25R-A11-0012</t>
  </si>
  <si>
    <t>25R-A11-0013</t>
  </si>
  <si>
    <t>25R-A11-0014</t>
  </si>
  <si>
    <t>25R-A11-0015</t>
  </si>
  <si>
    <t>25R-A11-0016</t>
  </si>
  <si>
    <t>25R-A11-0017</t>
  </si>
  <si>
    <t>25R-A12-0001</t>
  </si>
  <si>
    <t>25R-A12-0002</t>
  </si>
  <si>
    <t>25R-A12-0003</t>
  </si>
  <si>
    <t>25R-A12-0004</t>
  </si>
  <si>
    <t>25R-A12-0005</t>
  </si>
  <si>
    <t>25R-A12-0006</t>
  </si>
  <si>
    <t>25R-A12-0007</t>
  </si>
  <si>
    <t>25R-A12-0008</t>
  </si>
  <si>
    <t>25R-A12-0009</t>
  </si>
  <si>
    <t>25R-A12-0010</t>
  </si>
  <si>
    <t>25R-A12-0011</t>
  </si>
  <si>
    <t>25R-A12-0012</t>
  </si>
  <si>
    <t>25R-A12-0013</t>
  </si>
  <si>
    <t>25R-A12-0014</t>
  </si>
  <si>
    <t>25R-A12-0015</t>
  </si>
  <si>
    <t>25R-A12-0016</t>
  </si>
  <si>
    <t>25R-A12-0017</t>
  </si>
  <si>
    <t>25R-A12-0018</t>
  </si>
  <si>
    <t>25R-A13-0001</t>
  </si>
  <si>
    <t>25R-A13-0002</t>
  </si>
  <si>
    <t>25R-A13-0003</t>
  </si>
  <si>
    <t>25R-A13-0004</t>
  </si>
  <si>
    <t>25R-A13-0005</t>
  </si>
  <si>
    <t>25R-A13-0006</t>
  </si>
  <si>
    <t>25R-A13-0007</t>
  </si>
  <si>
    <t>25R-A13-0008</t>
  </si>
  <si>
    <t>25R-A13-0009</t>
  </si>
  <si>
    <t>25R-A13-0010</t>
  </si>
  <si>
    <t>25R-A13-0011</t>
  </si>
  <si>
    <t>25R-A13-0012</t>
  </si>
  <si>
    <t>25R-A13-0013</t>
  </si>
  <si>
    <t>25R-A13-0014</t>
  </si>
  <si>
    <t>25R-A13-0015</t>
  </si>
  <si>
    <t>25R-A13-0016</t>
  </si>
  <si>
    <t>25R-A13-0017</t>
  </si>
  <si>
    <t>25R-A13-0018</t>
  </si>
  <si>
    <t>25R-A13-0019</t>
  </si>
  <si>
    <t>25R-A13-0020</t>
  </si>
  <si>
    <t>25R-A13-0021</t>
  </si>
  <si>
    <t>25R-A13-0022</t>
  </si>
  <si>
    <t>25R-A13-0023</t>
  </si>
  <si>
    <t>25R-A21-0001</t>
  </si>
  <si>
    <t>25R-A21-0002</t>
  </si>
  <si>
    <t>25R-A21-0003</t>
  </si>
  <si>
    <t>25R-A21-0004</t>
  </si>
  <si>
    <t>25R-A21-0005</t>
  </si>
  <si>
    <t>25R-A21-0006</t>
  </si>
  <si>
    <t>25R-A21-0007</t>
  </si>
  <si>
    <t>25R-A21-0008</t>
  </si>
  <si>
    <t>25R-A21-0009</t>
  </si>
  <si>
    <t>25R-A21-0010</t>
  </si>
  <si>
    <t>25R-A21-0011</t>
  </si>
  <si>
    <t>25R-A21-0012</t>
  </si>
  <si>
    <t>25R-A21-0013</t>
  </si>
  <si>
    <t>25R-A21-0014</t>
  </si>
  <si>
    <t>25R-A21-0015</t>
  </si>
  <si>
    <t>25R-A22-0001</t>
  </si>
  <si>
    <t>25R-A22-0002</t>
  </si>
  <si>
    <t>25R-A22-0003</t>
  </si>
  <si>
    <t>25R-A22-0004</t>
  </si>
  <si>
    <t>25R-A22-0005</t>
  </si>
  <si>
    <t>25R-A22-0006</t>
  </si>
  <si>
    <t>25R-A22-0007</t>
  </si>
  <si>
    <t>25R-A22-0008</t>
  </si>
  <si>
    <t>25R-A22-0009</t>
  </si>
  <si>
    <t>25R-A22-0010</t>
  </si>
  <si>
    <t>25R-A22-0011</t>
  </si>
  <si>
    <t>25R-A22-0012</t>
  </si>
  <si>
    <t>25R-A31-0001</t>
  </si>
  <si>
    <t>25R-A31-0002</t>
  </si>
  <si>
    <t>25R-A31-0003</t>
  </si>
  <si>
    <t>25R-A31-0004</t>
  </si>
  <si>
    <t>25R-A31-0005</t>
  </si>
  <si>
    <t>25R-A31-0006</t>
  </si>
  <si>
    <t>25R-A31-0007</t>
  </si>
  <si>
    <t>25R-A31-0008</t>
  </si>
  <si>
    <t>25R-A31-0009</t>
  </si>
  <si>
    <t>25R-A31-0010</t>
  </si>
  <si>
    <t>25R-A31-0011</t>
  </si>
  <si>
    <t>25R-A31-0012</t>
  </si>
  <si>
    <t>25R-A31-0013</t>
  </si>
  <si>
    <t>25R-A31-0014</t>
  </si>
  <si>
    <t>25R-A31-0015</t>
  </si>
  <si>
    <t>25R-A31-0016</t>
  </si>
  <si>
    <t>25R-A31-0017</t>
  </si>
  <si>
    <t>25R-A32-0001</t>
  </si>
  <si>
    <t>25R-A32-0002</t>
  </si>
  <si>
    <t>25R-A32-0003</t>
  </si>
  <si>
    <t>25R-A32-0004</t>
  </si>
  <si>
    <t>25R-A32-0005</t>
  </si>
  <si>
    <t>25R-A32-0006</t>
  </si>
  <si>
    <t>25R-A32-0007</t>
  </si>
  <si>
    <t>25R-A32-0008</t>
  </si>
  <si>
    <t>25R-A32-0009</t>
  </si>
  <si>
    <t>25R-A32-0010</t>
  </si>
  <si>
    <t>25R-A32-0011</t>
  </si>
  <si>
    <t>25R-A32-0012</t>
  </si>
  <si>
    <t>25R-A32-0013</t>
  </si>
  <si>
    <t>25R-A32-0014</t>
  </si>
  <si>
    <t>25R-A32-0015</t>
  </si>
  <si>
    <t>25R-A32-0016</t>
  </si>
  <si>
    <t>25R-A32-0017</t>
  </si>
  <si>
    <t>25R-A32-0018</t>
  </si>
  <si>
    <t>25R-A32-0019</t>
  </si>
  <si>
    <t>25R-A33-0001</t>
  </si>
  <si>
    <t>25R-A33-0002</t>
  </si>
  <si>
    <t>25R-A33-0003</t>
  </si>
  <si>
    <t>25R-A33-0004</t>
  </si>
  <si>
    <t>25R-A33-0005</t>
  </si>
  <si>
    <t>25R-A33-0006</t>
  </si>
  <si>
    <t>25R-A33-0007</t>
  </si>
  <si>
    <t>25R-A33-0008</t>
  </si>
  <si>
    <t>25R-A33-0009</t>
  </si>
  <si>
    <t>25R-A33-0010</t>
  </si>
  <si>
    <t>25R-A33-0011</t>
  </si>
  <si>
    <t>25R-A33-0012</t>
  </si>
  <si>
    <t>25R-A33-0013</t>
  </si>
  <si>
    <t>25R-A33-0014</t>
  </si>
  <si>
    <t>25R-A33-0015</t>
  </si>
  <si>
    <t>25R-A33-0016</t>
  </si>
  <si>
    <t>25R-A41-0001</t>
  </si>
  <si>
    <t>25R-A41-0002</t>
  </si>
  <si>
    <t>25R-A41-0003</t>
  </si>
  <si>
    <t>25R-A41-0004</t>
  </si>
  <si>
    <t>25R-A41-0005</t>
  </si>
  <si>
    <t>25R-A41-0006</t>
  </si>
  <si>
    <t>25R-A41-0007</t>
  </si>
  <si>
    <t>25R-A41-0008</t>
  </si>
  <si>
    <t>25R-A41-0009</t>
  </si>
  <si>
    <t>25R-A41-0010</t>
  </si>
  <si>
    <t>25R-A41-0011</t>
  </si>
  <si>
    <t>25R-A41-0012</t>
  </si>
  <si>
    <t>25R-A41-0013</t>
  </si>
  <si>
    <t>25R-A41-0014</t>
  </si>
  <si>
    <t>25R-A41-0015</t>
  </si>
  <si>
    <t>25R-A42-0001</t>
  </si>
  <si>
    <t>25R-A42-0002</t>
  </si>
  <si>
    <t>25R-A42-0003</t>
  </si>
  <si>
    <t>25R-A42-0004</t>
  </si>
  <si>
    <t>25R-A42-0005</t>
  </si>
  <si>
    <t>25R-A42-0006</t>
  </si>
  <si>
    <t>25R-A42-0007</t>
  </si>
  <si>
    <t>25R-A42-0008</t>
  </si>
  <si>
    <t>25R-A42-0009</t>
  </si>
  <si>
    <t>25R-A42-0010</t>
  </si>
  <si>
    <t>25R-A42-0011</t>
  </si>
  <si>
    <t>25R-A42-0012</t>
  </si>
  <si>
    <t>25R-A42-0013</t>
  </si>
  <si>
    <t>25R-A42-0014</t>
  </si>
  <si>
    <t>25R-A42-0015</t>
  </si>
  <si>
    <t>25R-A42-0016</t>
  </si>
  <si>
    <t>25R-A42-0017</t>
  </si>
  <si>
    <t>25R-A51-0001</t>
  </si>
  <si>
    <t>25R-A51-0002</t>
  </si>
  <si>
    <t>25R-A51-0003</t>
  </si>
  <si>
    <t>25R-A51-0004</t>
  </si>
  <si>
    <t>25R-A51-0005</t>
  </si>
  <si>
    <t>25R-A51-0006</t>
  </si>
  <si>
    <t>25R-A51-0007</t>
  </si>
  <si>
    <t>25R-A51-0008</t>
  </si>
  <si>
    <t>25R-A51-0009</t>
  </si>
  <si>
    <t>25R-A51-0010</t>
  </si>
  <si>
    <t>25R-A51-0011</t>
  </si>
  <si>
    <t>25R-A51-0012</t>
  </si>
  <si>
    <t>25R-A51-0013</t>
  </si>
  <si>
    <t>25R-A51-0014</t>
  </si>
  <si>
    <t>25R-A51-0015</t>
  </si>
  <si>
    <t>25R-A51-0016</t>
  </si>
  <si>
    <t>25R-A51-0017</t>
  </si>
  <si>
    <t>25R-A51-0018</t>
  </si>
  <si>
    <t>25R-A51-0019</t>
  </si>
  <si>
    <t>25R-A51-0020</t>
  </si>
  <si>
    <t>25R-A52-0001</t>
  </si>
  <si>
    <t>25R-A52-0002</t>
  </si>
  <si>
    <t>25R-A52-0003</t>
  </si>
  <si>
    <t>25R-A52-0004</t>
  </si>
  <si>
    <t>25R-A52-0005</t>
  </si>
  <si>
    <t>25R-A52-0006</t>
  </si>
  <si>
    <t>25R-A52-0007</t>
  </si>
  <si>
    <t>25R-A52-0008</t>
  </si>
  <si>
    <t>25R-A52-0009</t>
  </si>
  <si>
    <t>25R-A52-0010</t>
  </si>
  <si>
    <t>25R-A52-0011</t>
  </si>
  <si>
    <t>25R-A52-0012</t>
  </si>
  <si>
    <t>25R-A52-0013</t>
  </si>
  <si>
    <t>25R-A52-0014</t>
  </si>
  <si>
    <t>25R-A52-0015</t>
  </si>
  <si>
    <t>25R-A52-0016</t>
  </si>
  <si>
    <t>25R-A52-0017</t>
  </si>
  <si>
    <t>25R-A52-0018</t>
  </si>
  <si>
    <t>25R-A52-0019</t>
  </si>
  <si>
    <t>25R-A53-0001</t>
  </si>
  <si>
    <t>25R-A53-0002</t>
  </si>
  <si>
    <t>25R-A53-0003</t>
  </si>
  <si>
    <t>25R-A53-0004</t>
  </si>
  <si>
    <t>25R-A53-0005</t>
  </si>
  <si>
    <t>25R-A53-0006</t>
  </si>
  <si>
    <t>25R-A53-0007</t>
  </si>
  <si>
    <t>25R-A53-0008</t>
  </si>
  <si>
    <t>25R-A53-0009</t>
  </si>
  <si>
    <t>25R-A53-0010</t>
  </si>
  <si>
    <t>25R-A53-0011</t>
  </si>
  <si>
    <t>25R-A53-0012</t>
  </si>
  <si>
    <t>25R-A53-0013</t>
  </si>
  <si>
    <t>25R-A53-0014</t>
  </si>
  <si>
    <t>25R-A53-0015</t>
  </si>
  <si>
    <t>25R-A53-0016</t>
  </si>
  <si>
    <t>25R-A53-0017</t>
  </si>
  <si>
    <t>25R-A53-0018</t>
  </si>
  <si>
    <t>25R-A53-0019</t>
  </si>
  <si>
    <t>25R-A53-0020</t>
  </si>
  <si>
    <t>25R-A53-0021</t>
  </si>
  <si>
    <t>25R-A53-0022</t>
  </si>
  <si>
    <t>25R-A53-0023</t>
  </si>
  <si>
    <t>25R-A53-0024</t>
  </si>
  <si>
    <t>25R-A53-0025</t>
  </si>
  <si>
    <t>25R-A53-0026</t>
  </si>
  <si>
    <t>25R-A53-0027</t>
  </si>
  <si>
    <t>25R-A53-0028</t>
  </si>
  <si>
    <t>25T-A11-0002</t>
  </si>
  <si>
    <t>25T-A11-0003</t>
  </si>
  <si>
    <t>25T-A11-0004</t>
  </si>
  <si>
    <t>25T-A11-0005</t>
  </si>
  <si>
    <t>25T-A11-0006</t>
  </si>
  <si>
    <t>25T-A11-0007</t>
  </si>
  <si>
    <t>25T-A11-0008</t>
  </si>
  <si>
    <t>25T-A11-0009</t>
  </si>
  <si>
    <t>25T-A11-0010</t>
  </si>
  <si>
    <t>25T-A11-0011</t>
  </si>
  <si>
    <t>25T-A11-0012</t>
  </si>
  <si>
    <t>25T-A11-0013</t>
  </si>
  <si>
    <t>25T-A11-0014</t>
  </si>
  <si>
    <t>25T-A11-0015</t>
  </si>
  <si>
    <t>25T-A11-0016</t>
  </si>
  <si>
    <t>25T-A11-0017</t>
  </si>
  <si>
    <t>25T-A11-0018</t>
  </si>
  <si>
    <t>25T-A11-0019</t>
  </si>
  <si>
    <t>25T-A11-0020</t>
  </si>
  <si>
    <t>25T-A11-0021</t>
  </si>
  <si>
    <t>25T-A11-0022</t>
  </si>
  <si>
    <t>25T-A11-0023</t>
  </si>
  <si>
    <t>25T-A12-0001</t>
  </si>
  <si>
    <t>25T-A12-0002</t>
  </si>
  <si>
    <t>25T-A12-0003</t>
  </si>
  <si>
    <t>25T-A12-0004</t>
  </si>
  <si>
    <t>25T-A12-0005</t>
  </si>
  <si>
    <t>25T-A12-0006</t>
  </si>
  <si>
    <t>25T-A12-0007</t>
  </si>
  <si>
    <t>25T-A12-0008</t>
  </si>
  <si>
    <t>25T-A12-0009</t>
  </si>
  <si>
    <t>25T-A12-0010</t>
  </si>
  <si>
    <t>25T-A12-0011</t>
  </si>
  <si>
    <t>25T-A12-0012</t>
  </si>
  <si>
    <t>25T-A12-0013</t>
  </si>
  <si>
    <t>25T-A12-0014</t>
  </si>
  <si>
    <t>25T-A12-0015</t>
  </si>
  <si>
    <t>25T-A12-0016</t>
  </si>
  <si>
    <t>25T-A12-0017</t>
  </si>
  <si>
    <t>25T-A12-0018</t>
  </si>
  <si>
    <t>25T-A12-0019</t>
  </si>
  <si>
    <t>25T-A13-0001</t>
  </si>
  <si>
    <t>25T-A13-0002</t>
  </si>
  <si>
    <t>25T-A13-0003</t>
  </si>
  <si>
    <t>25T-A13-0004</t>
  </si>
  <si>
    <t>25T-A13-0005</t>
  </si>
  <si>
    <t>25T-A13-0006</t>
  </si>
  <si>
    <t>25T-A13-0007</t>
  </si>
  <si>
    <t>25T-A13-0008</t>
  </si>
  <si>
    <t>25T-A13-0009</t>
  </si>
  <si>
    <t>25T-A13-0010</t>
  </si>
  <si>
    <t>25T-A13-0011</t>
  </si>
  <si>
    <t>25T-A13-0012</t>
  </si>
  <si>
    <t>25T-A13-0013</t>
  </si>
  <si>
    <t>25T-A13-0014</t>
  </si>
  <si>
    <t>25T-A21-0001</t>
  </si>
  <si>
    <t>25T-A21-0002</t>
  </si>
  <si>
    <t>25T-A21-0003</t>
  </si>
  <si>
    <t>25T-A21-0004</t>
  </si>
  <si>
    <t>25T-A21-0005</t>
  </si>
  <si>
    <t>25T-A21-0006</t>
  </si>
  <si>
    <t>25T-A21-0007</t>
  </si>
  <si>
    <t>25T-A21-0008</t>
  </si>
  <si>
    <t>25T-A21-0009</t>
  </si>
  <si>
    <t>25T-A21-0010</t>
  </si>
  <si>
    <t>25T-A21-0011</t>
  </si>
  <si>
    <t>25T-A21-0012</t>
  </si>
  <si>
    <t>25T-A22-0001</t>
  </si>
  <si>
    <t>25T-A22-0002</t>
  </si>
  <si>
    <t>25T-A22-0003</t>
  </si>
  <si>
    <t>25T-A22-0004</t>
  </si>
  <si>
    <t>25T-A22-0005</t>
  </si>
  <si>
    <t>25T-A22-0006</t>
  </si>
  <si>
    <t>25T-A22-0007</t>
  </si>
  <si>
    <t>25T-A22-0008</t>
  </si>
  <si>
    <t>25T-A22-0009</t>
  </si>
  <si>
    <t>25T-A22-0010</t>
  </si>
  <si>
    <t>25T-A22-0011</t>
  </si>
  <si>
    <t>25T-A22-0012</t>
  </si>
  <si>
    <t>25T-A22-0013</t>
  </si>
  <si>
    <t>25T-A22-0014</t>
  </si>
  <si>
    <t>25T-A22-0015</t>
  </si>
  <si>
    <t>25T-A22-0016</t>
  </si>
  <si>
    <t>25T-A22-0017</t>
  </si>
  <si>
    <t>25T-A22-0018</t>
  </si>
  <si>
    <t>25T-A22-0019</t>
  </si>
  <si>
    <t>25T-A22-0020</t>
  </si>
  <si>
    <t>25T-A22-0021</t>
  </si>
  <si>
    <t>25T-A31-0001</t>
  </si>
  <si>
    <t>25T-A31-0002</t>
  </si>
  <si>
    <t>25T-A31-0003</t>
  </si>
  <si>
    <t>25T-A31-0004</t>
  </si>
  <si>
    <t>25T-A31-0005</t>
  </si>
  <si>
    <t>25T-A31-0006</t>
  </si>
  <si>
    <t>25T-A31-0007</t>
  </si>
  <si>
    <t>25T-A31-0008</t>
  </si>
  <si>
    <t>25T-A31-0009</t>
  </si>
  <si>
    <t>25T-A31-0010</t>
  </si>
  <si>
    <t>25T-A31-0011</t>
  </si>
  <si>
    <t>25T-A31-0012</t>
  </si>
  <si>
    <t>25T-A31-0013</t>
  </si>
  <si>
    <t>25T-A32-0001</t>
  </si>
  <si>
    <t>25T-A32-0002</t>
  </si>
  <si>
    <t>25T-A32-0003</t>
  </si>
  <si>
    <t>25T-A32-0004</t>
  </si>
  <si>
    <t>25T-A32-0005</t>
  </si>
  <si>
    <t>25T-A32-0006</t>
  </si>
  <si>
    <t>25T-A32-0007</t>
  </si>
  <si>
    <t>25T-A32-0008</t>
  </si>
  <si>
    <t>25T-A32-0009</t>
  </si>
  <si>
    <t>25T-A32-0010</t>
  </si>
  <si>
    <t>25T-A32-0011</t>
  </si>
  <si>
    <t>25T-A32-0012</t>
  </si>
  <si>
    <t>25T-A32-0013</t>
  </si>
  <si>
    <t>25T-A32-0014</t>
  </si>
  <si>
    <t>25T-A32-0015</t>
  </si>
  <si>
    <t>25T-A32-0016</t>
  </si>
  <si>
    <t>25T-A32-0017</t>
  </si>
  <si>
    <t>25T-A33-0001</t>
  </si>
  <si>
    <t>25T-A33-0002</t>
  </si>
  <si>
    <t>25T-A33-0003</t>
  </si>
  <si>
    <t>25T-A33-0004</t>
  </si>
  <si>
    <t>25T-A33-0005</t>
  </si>
  <si>
    <t>25T-A33-0006</t>
  </si>
  <si>
    <t>25T-A33-0007</t>
  </si>
  <si>
    <t>25T-A33-0008</t>
  </si>
  <si>
    <t>25T-A33-0009</t>
  </si>
  <si>
    <t>25T-A33-0010</t>
  </si>
  <si>
    <t>25T-A33-0011</t>
  </si>
  <si>
    <t>25T-A33-0012</t>
  </si>
  <si>
    <t>25T-A33-0013</t>
  </si>
  <si>
    <t>25T-A33-0014</t>
  </si>
  <si>
    <t>25T-A33-0015</t>
  </si>
  <si>
    <t>25T-A33-0016</t>
  </si>
  <si>
    <t>25T-A33-0017</t>
  </si>
  <si>
    <t>25T-A33-0018</t>
  </si>
  <si>
    <t>25T-A33-0019</t>
  </si>
  <si>
    <t>25T-A33-0020</t>
  </si>
  <si>
    <t>25T-A33-0021</t>
  </si>
  <si>
    <t>25T-A33-0022</t>
  </si>
  <si>
    <t>25T-A41-0001</t>
  </si>
  <si>
    <t>25T-A41-0002</t>
  </si>
  <si>
    <t>25T-A41-0003</t>
  </si>
  <si>
    <t>25T-A41-0004</t>
  </si>
  <si>
    <t>25T-A41-0005</t>
  </si>
  <si>
    <t>25T-A41-0006</t>
  </si>
  <si>
    <t>25T-A41-0007</t>
  </si>
  <si>
    <t>25T-A41-0008</t>
  </si>
  <si>
    <t>25T-A41-0009</t>
  </si>
  <si>
    <t>25T-A41-0010</t>
  </si>
  <si>
    <t>25T-A41-0011</t>
  </si>
  <si>
    <t>25T-A42-0001</t>
  </si>
  <si>
    <t>25T-A42-0002</t>
  </si>
  <si>
    <t>25T-A42-0003</t>
  </si>
  <si>
    <t>25T-A42-0004</t>
  </si>
  <si>
    <t>25T-A42-0005</t>
  </si>
  <si>
    <t>25T-A42-0006</t>
  </si>
  <si>
    <t>25T-A42-0007</t>
  </si>
  <si>
    <t>25T-A42-0008</t>
  </si>
  <si>
    <t>25T-A42-0009</t>
  </si>
  <si>
    <t>25T-A42-0010</t>
  </si>
  <si>
    <t>25T-A42-0011</t>
  </si>
  <si>
    <t>25T-A42-0012</t>
  </si>
  <si>
    <t>25T-A42-0013</t>
  </si>
  <si>
    <t>25T-A42-0014</t>
  </si>
  <si>
    <t>25T-A42-0015</t>
  </si>
  <si>
    <t>25T-A42-0016</t>
  </si>
  <si>
    <t>25T-A51-0001</t>
  </si>
  <si>
    <t>25T-A51-0002</t>
  </si>
  <si>
    <t>25T-A51-0003</t>
  </si>
  <si>
    <t>25T-A51-0004</t>
  </si>
  <si>
    <t>25T-A51-0005</t>
  </si>
  <si>
    <t>25T-A51-0006</t>
  </si>
  <si>
    <t>25T-A51-0007</t>
  </si>
  <si>
    <t>25T-A51-0008</t>
  </si>
  <si>
    <t>25T-A51-0009</t>
  </si>
  <si>
    <t>25T-A51-0010</t>
  </si>
  <si>
    <t>25T-A51-0011</t>
  </si>
  <si>
    <t>25T-A51-0012</t>
  </si>
  <si>
    <t>25T-A51-0013</t>
  </si>
  <si>
    <t>25T-A51-0014</t>
  </si>
  <si>
    <t>25T-A52-0001</t>
  </si>
  <si>
    <t>25T-A52-0002</t>
  </si>
  <si>
    <t>25T-A52-0003</t>
  </si>
  <si>
    <t>25T-A52-0004</t>
  </si>
  <si>
    <t>25T-A52-0005</t>
  </si>
  <si>
    <t>25T-A52-0006</t>
  </si>
  <si>
    <t>25T-A52-0007</t>
  </si>
  <si>
    <t>25T-A52-0008</t>
  </si>
  <si>
    <t>25T-A52-0009</t>
  </si>
  <si>
    <t>25T-A52-0010</t>
  </si>
  <si>
    <t>25T-A52-0011</t>
  </si>
  <si>
    <t>25T-A52-0012</t>
  </si>
  <si>
    <t>25T-A52-0013</t>
  </si>
  <si>
    <t>25T-A52-0014</t>
  </si>
  <si>
    <t>25T-A52-0015</t>
  </si>
  <si>
    <t>25T-A52-0016</t>
  </si>
  <si>
    <t>25T-A52-0017</t>
  </si>
  <si>
    <t>25T-A52-0018</t>
  </si>
  <si>
    <t>25T-A53-0001</t>
  </si>
  <si>
    <t>25T-A53-0002</t>
  </si>
  <si>
    <t>25T-A53-0003</t>
  </si>
  <si>
    <t>25T-A53-0004</t>
  </si>
  <si>
    <t>25T-A53-0005</t>
  </si>
  <si>
    <t>25T-A53-0006</t>
  </si>
  <si>
    <t>25T-A53-0007</t>
  </si>
  <si>
    <t>25T-A53-0008</t>
  </si>
  <si>
    <t>25T-A53-0009</t>
  </si>
  <si>
    <t>25T-A53-0010</t>
  </si>
  <si>
    <t>25T-A53-0011</t>
  </si>
  <si>
    <t>25T-A53-0012</t>
  </si>
  <si>
    <t>25T-A53-0013</t>
  </si>
  <si>
    <t>25T-A53-0014</t>
  </si>
  <si>
    <t>25T-A53-0015</t>
  </si>
  <si>
    <t>25T-A53-0016</t>
  </si>
  <si>
    <t>25T-A53-0017</t>
  </si>
  <si>
    <t>No</t>
  </si>
  <si>
    <t>Prita Yusnita</t>
  </si>
  <si>
    <t>Diah Lubis</t>
  </si>
  <si>
    <t>Lina Maulana</t>
  </si>
  <si>
    <t>Rafi Wibowo</t>
  </si>
  <si>
    <t>Zahra Pratama</t>
  </si>
  <si>
    <t>Budi Halim</t>
  </si>
  <si>
    <t>Rafi Zulkarnain</t>
  </si>
  <si>
    <t>Yuni Wardani</t>
  </si>
  <si>
    <t>Yuni Ramadhan</t>
  </si>
  <si>
    <t>Jefri Gunawan</t>
  </si>
  <si>
    <t>Sinta Wibowo</t>
  </si>
  <si>
    <t>Miftah Rahman</t>
  </si>
  <si>
    <t>Rafi Lubis</t>
  </si>
  <si>
    <t>Dimas Yusnita</t>
  </si>
  <si>
    <t>Julia Siregar</t>
  </si>
  <si>
    <t>Jihan Octaviani</t>
  </si>
  <si>
    <t>Bunga Mardiana</t>
  </si>
  <si>
    <t>Nanda Setiawan</t>
  </si>
  <si>
    <t>Fira Utama</t>
  </si>
  <si>
    <t>Oki Firmansyah</t>
  </si>
  <si>
    <t>Ani Hakim</t>
  </si>
  <si>
    <t>Dewi Zulkarnain</t>
  </si>
  <si>
    <t>Lina Nurdin</t>
  </si>
  <si>
    <t>Ayu Wibowo</t>
  </si>
  <si>
    <t>Dewi Oktavianus</t>
  </si>
  <si>
    <t>Ilham Wijaya</t>
  </si>
  <si>
    <t>Gilang Oktavianus</t>
  </si>
  <si>
    <t>P</t>
  </si>
  <si>
    <t>L</t>
  </si>
  <si>
    <t>Zaki Oktavianus</t>
  </si>
  <si>
    <t>Rina Kusuma</t>
  </si>
  <si>
    <t>Citra Nugroho</t>
  </si>
  <si>
    <t>Oki Wijaya</t>
  </si>
  <si>
    <t>Eka Hidayat</t>
  </si>
  <si>
    <t>Gema Hidayat</t>
  </si>
  <si>
    <t>Citra Wibowo</t>
  </si>
  <si>
    <t>Yuni Siregar</t>
  </si>
  <si>
    <t>Gita Maulana</t>
  </si>
  <si>
    <t>Joko Saputra</t>
  </si>
  <si>
    <t>Bella Siregar</t>
  </si>
  <si>
    <t>Dinda Permana</t>
  </si>
  <si>
    <t>Tuti Nugroho</t>
  </si>
  <si>
    <t>Lina Mardiana</t>
  </si>
  <si>
    <t>Farah Junaedi</t>
  </si>
  <si>
    <t>Ira Suryadi</t>
  </si>
  <si>
    <t>Fitri Prasetyo</t>
  </si>
  <si>
    <t>Yana Rahman</t>
  </si>
  <si>
    <t>Yuni Nasution</t>
  </si>
  <si>
    <t>Agus Permana</t>
  </si>
  <si>
    <t>Siti Zulkarnain</t>
  </si>
  <si>
    <t>Winda Wardani</t>
  </si>
  <si>
    <t>Siti Firmansyah</t>
  </si>
  <si>
    <t>Yana Lesmana</t>
  </si>
  <si>
    <t>Sinta Tanjung</t>
  </si>
  <si>
    <t>Putri Ramadhan</t>
  </si>
  <si>
    <t>Hadi Nurdin</t>
  </si>
  <si>
    <t>Naufal Wardani</t>
  </si>
  <si>
    <t>Prita Utama</t>
  </si>
  <si>
    <t>Yusuf Lubis</t>
  </si>
  <si>
    <t>Gita Nurdin</t>
  </si>
  <si>
    <t>Citra Tanjung</t>
  </si>
  <si>
    <t>Lutfi Susanto</t>
  </si>
  <si>
    <t>Hendra Irawan</t>
  </si>
  <si>
    <t>Ahmad Ramadhan</t>
  </si>
  <si>
    <t>Ujang Susanto</t>
  </si>
  <si>
    <t>Candra Wardani</t>
  </si>
  <si>
    <t>Andi Nasution</t>
  </si>
  <si>
    <t>Yoga Pratama</t>
  </si>
  <si>
    <t>Mahmud Iskandar</t>
  </si>
  <si>
    <t>Sinta Siregar</t>
  </si>
  <si>
    <t>Umar Permana</t>
  </si>
  <si>
    <t>Yoga Kurnia</t>
  </si>
  <si>
    <t>Wulan Kusuma</t>
  </si>
  <si>
    <t>Yuni Lubis</t>
  </si>
  <si>
    <t>Julia Lesmana</t>
  </si>
  <si>
    <t>Indah Irawan</t>
  </si>
  <si>
    <t>Tuti Wibowo</t>
  </si>
  <si>
    <t>Sandi Setiawan</t>
  </si>
  <si>
    <t>Eka Utama</t>
  </si>
  <si>
    <t>Yoga Santoso</t>
  </si>
  <si>
    <t>Mega Siregar</t>
  </si>
  <si>
    <t>Nurul Oktavianus</t>
  </si>
  <si>
    <t>Nurul Hakim</t>
  </si>
  <si>
    <t>Arif Permana</t>
  </si>
  <si>
    <t>Yuni Maulana</t>
  </si>
  <si>
    <t>Jihan Kusuma</t>
  </si>
  <si>
    <t>Naufal Setiawan</t>
  </si>
  <si>
    <t>Rafi Nugroho</t>
  </si>
  <si>
    <t>Okta Yulianto</t>
  </si>
  <si>
    <t>Yana Mardiana</t>
  </si>
  <si>
    <t>Bayu Nugroho</t>
  </si>
  <si>
    <t>Yusuf Kusnadi</t>
  </si>
  <si>
    <t>Lukman Suryadi</t>
  </si>
  <si>
    <t>Vino Octaviani</t>
  </si>
  <si>
    <t>Zaki Susanto</t>
  </si>
  <si>
    <t>Prita Wijaya</t>
  </si>
  <si>
    <t>Ulfa Wardani</t>
  </si>
  <si>
    <t>Yoga Yulianto</t>
  </si>
  <si>
    <t>Sandi Wahyudi</t>
  </si>
  <si>
    <t>Sandi Ramadhan</t>
  </si>
  <si>
    <t>Pandu Permana</t>
  </si>
  <si>
    <t>Vina Prasetyo</t>
  </si>
  <si>
    <t>Wulan Lesmana</t>
  </si>
  <si>
    <t>Bayu Wibowo</t>
  </si>
  <si>
    <t>Lina Setiawan</t>
  </si>
  <si>
    <t>Ira Ramadhan</t>
  </si>
  <si>
    <t>Jefri Zulkarnain</t>
  </si>
  <si>
    <t>Eka Maulana</t>
  </si>
  <si>
    <t>Fira Nugroho</t>
  </si>
  <si>
    <t>Wati Prasetyo</t>
  </si>
  <si>
    <t>Zaki Siregar</t>
  </si>
  <si>
    <t>Nadia Lesmana</t>
  </si>
  <si>
    <t>Vino Kusuma</t>
  </si>
  <si>
    <t>Putri Nugroho</t>
  </si>
  <si>
    <t>Dimas Kusuma</t>
  </si>
  <si>
    <t>Pandu Wijaya</t>
  </si>
  <si>
    <t>Sinta Wijaya</t>
  </si>
  <si>
    <t>Eko Zulkarnain</t>
  </si>
  <si>
    <t>Ujang Santoso</t>
  </si>
  <si>
    <t>Bayu Hidayat</t>
  </si>
  <si>
    <t>Yana Firmansyah</t>
  </si>
  <si>
    <t>Dinda Prasetyo</t>
  </si>
  <si>
    <t>Gema Gunawan</t>
  </si>
  <si>
    <t>Citra Utama</t>
  </si>
  <si>
    <t>Vera Firmansyah</t>
  </si>
  <si>
    <t>Rian Kusnadi</t>
  </si>
  <si>
    <t>Candra Yusnita</t>
  </si>
  <si>
    <t>Wulan Halim</t>
  </si>
  <si>
    <t>Bella Wibowo</t>
  </si>
  <si>
    <t>Lukman Hidayat</t>
  </si>
  <si>
    <t>Ilham Kusuma</t>
  </si>
  <si>
    <t>Candra Utama</t>
  </si>
  <si>
    <t>Jihan Rahman</t>
  </si>
  <si>
    <t>Mega Kurnia</t>
  </si>
  <si>
    <t>Winda Prasetyo</t>
  </si>
  <si>
    <t>Ratna Maulana</t>
  </si>
  <si>
    <t>Gita Kurnia</t>
  </si>
  <si>
    <t>Lina Octaviani</t>
  </si>
  <si>
    <t>Zahra Junaedi</t>
  </si>
  <si>
    <t>Yoga Siregar</t>
  </si>
  <si>
    <t>Rian Susanto</t>
  </si>
  <si>
    <t>Wulan Lubis</t>
  </si>
  <si>
    <t>Farhan Wijaya</t>
  </si>
  <si>
    <t>Rizky Lubis</t>
  </si>
  <si>
    <t>Farhan Yusnita</t>
  </si>
  <si>
    <t>Gilang Ramadhan</t>
  </si>
  <si>
    <t>Fitri Wibowo</t>
  </si>
  <si>
    <t>Bambang Octaviani</t>
  </si>
  <si>
    <t>Farhan Prasetyo</t>
  </si>
  <si>
    <t>Wulan Yulianto</t>
  </si>
  <si>
    <t>Wati Lesmana</t>
  </si>
  <si>
    <t>Rizky Iskandar</t>
  </si>
  <si>
    <t>Rian Rahman</t>
  </si>
  <si>
    <t>Krisna Wahyudi</t>
  </si>
  <si>
    <t>Okta Gunawan</t>
  </si>
  <si>
    <t>Ujang Nugroho</t>
  </si>
  <si>
    <t>Sari Utama</t>
  </si>
  <si>
    <t>Tari Pratama</t>
  </si>
  <si>
    <t>Sandi Nugroho</t>
  </si>
  <si>
    <t>Andi Prasetyo</t>
  </si>
  <si>
    <t>Gilang Lubis</t>
  </si>
  <si>
    <t>Oki Irawan</t>
  </si>
  <si>
    <t>Eka Yulianto</t>
  </si>
  <si>
    <t>Lukman Kusnadi</t>
  </si>
  <si>
    <t>Oscar Nurdin</t>
  </si>
  <si>
    <t>Okta Permana</t>
  </si>
  <si>
    <t>Ujang Hidayat</t>
  </si>
  <si>
    <t>Tono Kurnia</t>
  </si>
  <si>
    <t>Indah Saputra</t>
  </si>
  <si>
    <t>Vera Yulianto</t>
  </si>
  <si>
    <t>Sandi Permana</t>
  </si>
  <si>
    <t>Umar Pratama</t>
  </si>
  <si>
    <t>Jefri Iskandar</t>
  </si>
  <si>
    <t>Yana Octaviani</t>
  </si>
  <si>
    <t>Julia Lubis</t>
  </si>
  <si>
    <t>Sari Maulana</t>
  </si>
  <si>
    <t>Hana Wardani</t>
  </si>
  <si>
    <t>Wahyu Utama</t>
  </si>
  <si>
    <t>Surya Lesmana</t>
  </si>
  <si>
    <t>Farah Siregar</t>
  </si>
  <si>
    <t>Fitri Siregar</t>
  </si>
  <si>
    <t>Sinta Oktavianus</t>
  </si>
  <si>
    <t>Winda Wahyudi</t>
  </si>
  <si>
    <t>Julia Mardiana</t>
  </si>
  <si>
    <t>Krisna Wibowo</t>
  </si>
  <si>
    <t>Ilham Lesmana</t>
  </si>
  <si>
    <t>Tari Irawan</t>
  </si>
  <si>
    <t>Dedi Halim</t>
  </si>
  <si>
    <t>Elsa Saputra</t>
  </si>
  <si>
    <t>Hendra Hakim</t>
  </si>
  <si>
    <t>Fajar Lubis</t>
  </si>
  <si>
    <t>Fitri Firmansyah</t>
  </si>
  <si>
    <t>Dewi Hidayat</t>
  </si>
  <si>
    <t>Umi Gunawan</t>
  </si>
  <si>
    <t>Intan Tanjung</t>
  </si>
  <si>
    <t>Mahmud Kusuma</t>
  </si>
  <si>
    <t>Nanda Utama</t>
  </si>
  <si>
    <t>Citra Mardiana</t>
  </si>
  <si>
    <t>Fira Nasution</t>
  </si>
  <si>
    <t>Dimas Nugroho</t>
  </si>
  <si>
    <t>Erwin Rahman</t>
  </si>
  <si>
    <t>Sandi Hidayat</t>
  </si>
  <si>
    <t>Lutfi Halim</t>
  </si>
  <si>
    <t>Sandi Prasetyo</t>
  </si>
  <si>
    <t>Fajar Utama</t>
  </si>
  <si>
    <t>Ratna Iskandar</t>
  </si>
  <si>
    <t>Naufal Siregar</t>
  </si>
  <si>
    <t>Krisna Wijaya</t>
  </si>
  <si>
    <t>Fajar Firmansyah</t>
  </si>
  <si>
    <t>Yoga Nasution</t>
  </si>
  <si>
    <t>Julia Kusuma</t>
  </si>
  <si>
    <t>Rian Irawan</t>
  </si>
  <si>
    <t>Vera Wahyudi</t>
  </si>
  <si>
    <t>Rani Permana</t>
  </si>
  <si>
    <t>Anisa Rahman</t>
  </si>
  <si>
    <t>Oscar Suryadi</t>
  </si>
  <si>
    <t>Putri Wardani</t>
  </si>
  <si>
    <t>Mega Oktavianus</t>
  </si>
  <si>
    <t>Bella Prasetyo</t>
  </si>
  <si>
    <t>Oscar Kurnia</t>
  </si>
  <si>
    <t>Hadi Irawan</t>
  </si>
  <si>
    <t>Mahmud Wijaya</t>
  </si>
  <si>
    <t>Wulan Yusnita</t>
  </si>
  <si>
    <t>Sari Yusnita</t>
  </si>
  <si>
    <t>Wati Irawan</t>
  </si>
  <si>
    <t>Zaki Gunawan</t>
  </si>
  <si>
    <t>Diah Lesmana</t>
  </si>
  <si>
    <t>Lina Wibowo</t>
  </si>
  <si>
    <t>Dedi Octaviani</t>
  </si>
  <si>
    <t>Putra Setiawan</t>
  </si>
  <si>
    <t>Ratna Hidayat</t>
  </si>
  <si>
    <t>Wahyu Nurdin</t>
  </si>
  <si>
    <t>Rani Zulkarnain</t>
  </si>
  <si>
    <t>Mega Gunawan</t>
  </si>
  <si>
    <t>Ayu Wijaya</t>
  </si>
  <si>
    <t>Wahyu Halim</t>
  </si>
  <si>
    <t>Rafi Setiawan</t>
  </si>
  <si>
    <t>Farhan Kurnia</t>
  </si>
  <si>
    <t>Yoga Saputra</t>
  </si>
  <si>
    <t>Indah Iskandar</t>
  </si>
  <si>
    <t>Zaki Octaviani</t>
  </si>
  <si>
    <t>Candra Gunawan</t>
  </si>
  <si>
    <t>Rizky Ramadhan</t>
  </si>
  <si>
    <t>Miftah Nasution</t>
  </si>
  <si>
    <t>Andi Firmansyah</t>
  </si>
  <si>
    <t>Dinda Siregar</t>
  </si>
  <si>
    <t>Candra Siregar</t>
  </si>
  <si>
    <t>Rafi Suryadi</t>
  </si>
  <si>
    <t>Miftah Wahyudi</t>
  </si>
  <si>
    <t>Nanda Kusuma</t>
  </si>
  <si>
    <t>Lina Yusnita</t>
  </si>
  <si>
    <t>Putra Tanjung</t>
  </si>
  <si>
    <t>Muhammad Firmansyah</t>
  </si>
  <si>
    <t>Cinta Kusnadi</t>
  </si>
  <si>
    <t>Yana Yusnita</t>
  </si>
  <si>
    <t>Miftah Lubis</t>
  </si>
  <si>
    <t>Yoga Lesmana</t>
  </si>
  <si>
    <t>Yuni Permana</t>
  </si>
  <si>
    <t>Eka Zulkarnain</t>
  </si>
  <si>
    <t>Yuni Kurnia</t>
  </si>
  <si>
    <t>Erwin Junaedi</t>
  </si>
  <si>
    <t>Gilang Tanjung</t>
  </si>
  <si>
    <t>Wahyu Rahman</t>
  </si>
  <si>
    <t>Sinta Junaedi</t>
  </si>
  <si>
    <t>Vino Kusnadi</t>
  </si>
  <si>
    <t>Gilang Lesmana</t>
  </si>
  <si>
    <t>Indah Lesmana</t>
  </si>
  <si>
    <t>Dewi Tanjung</t>
  </si>
  <si>
    <t>Pandu Santoso</t>
  </si>
  <si>
    <t>Surya Maulana</t>
  </si>
  <si>
    <t>Vera Susanto</t>
  </si>
  <si>
    <t>Farah Wahyudi</t>
  </si>
  <si>
    <t>Dimas Utama</t>
  </si>
  <si>
    <t>Nurul Nugroho</t>
  </si>
  <si>
    <t>Umi Wibowo</t>
  </si>
  <si>
    <t>Tuti Hidayat</t>
  </si>
  <si>
    <t>Tuti Junaedi</t>
  </si>
  <si>
    <t>Bella Firmansyah</t>
  </si>
  <si>
    <t>Sandi Gunawan</t>
  </si>
  <si>
    <t>Tono Hidayat</t>
  </si>
  <si>
    <t>Gema Kurnia</t>
  </si>
  <si>
    <t>Winda Maulana</t>
  </si>
  <si>
    <t>Elsa Prasetyo</t>
  </si>
  <si>
    <t>Yuni Kusnadi</t>
  </si>
  <si>
    <t>Hesti Zulkarnain</t>
  </si>
  <si>
    <t>Bayu Ramadhan</t>
  </si>
  <si>
    <t>Mahmud Halim</t>
  </si>
  <si>
    <t>Jefri Wahyudi</t>
  </si>
  <si>
    <t>Ilham Oktavianus</t>
  </si>
  <si>
    <t>Ujang Irawan</t>
  </si>
  <si>
    <t>Oscar Ramadhan</t>
  </si>
  <si>
    <t>Mega Prasetyo</t>
  </si>
  <si>
    <t>Putra Zulkarnain</t>
  </si>
  <si>
    <t>Hana Ramadhan</t>
  </si>
  <si>
    <t>Bunga Suryadi</t>
  </si>
  <si>
    <t>Krisna Lesmana</t>
  </si>
  <si>
    <t>Miftah Wardani</t>
  </si>
  <si>
    <t>Ayu Ramadhan</t>
  </si>
  <si>
    <t>Yuni Santoso</t>
  </si>
  <si>
    <t>Yusuf Maulana</t>
  </si>
  <si>
    <t>Agus Ramadhan</t>
  </si>
  <si>
    <t>Winda Junaedi</t>
  </si>
  <si>
    <t>Ira Irawan</t>
  </si>
  <si>
    <t>Andi Maulana</t>
  </si>
  <si>
    <t>Eka Mardiana</t>
  </si>
  <si>
    <t>Gema Rahman</t>
  </si>
  <si>
    <t>Erwin Irawan</t>
  </si>
  <si>
    <t>Lukman Irawan</t>
  </si>
  <si>
    <t>Hendra Rahman</t>
  </si>
  <si>
    <t>Vera Suryadi</t>
  </si>
  <si>
    <t>Nadia Iskandar</t>
  </si>
  <si>
    <t>Budi Yulianto</t>
  </si>
  <si>
    <t>Nanda Junaedi</t>
  </si>
  <si>
    <t>Wisnu Wahyudi</t>
  </si>
  <si>
    <t>Zainal Suryadi</t>
  </si>
  <si>
    <t>Bella Mardiana</t>
  </si>
  <si>
    <t>Gilang Wahyudi</t>
  </si>
  <si>
    <t>Siti Halim</t>
  </si>
  <si>
    <t>Pandu Utama</t>
  </si>
  <si>
    <t>Dedi Wahyudi</t>
  </si>
  <si>
    <t>Sari Irawan</t>
  </si>
  <si>
    <t>Mega Irawan</t>
  </si>
  <si>
    <t>Ujang Junaedi</t>
  </si>
  <si>
    <t>Yuni Utama</t>
  </si>
  <si>
    <t>Mega Suryadi</t>
  </si>
  <si>
    <t>Gema Firmansyah</t>
  </si>
  <si>
    <t>Umi Utama</t>
  </si>
  <si>
    <t>Andi Lesmana</t>
  </si>
  <si>
    <t>Elsa Permana</t>
  </si>
  <si>
    <t>Yusuf Siregar</t>
  </si>
  <si>
    <t>Zahra Mardiana</t>
  </si>
  <si>
    <t>Kartika Hakim</t>
  </si>
  <si>
    <t>Krisna Nugroho</t>
  </si>
  <si>
    <t>Nanda Mardiana</t>
  </si>
  <si>
    <t>Rian Oktavianus</t>
  </si>
  <si>
    <t>Ani Wahyudi</t>
  </si>
  <si>
    <t>Lina Suryadi</t>
  </si>
  <si>
    <t>Andi Lubis</t>
  </si>
  <si>
    <t>Okta Wardani</t>
  </si>
  <si>
    <t>Jihan Suryadi</t>
  </si>
  <si>
    <t>Taufik Setiawan</t>
  </si>
  <si>
    <t>Wahyu Suryadi</t>
  </si>
  <si>
    <t>Ira Nasution</t>
  </si>
  <si>
    <t>Nadia Santoso</t>
  </si>
  <si>
    <t>Elsa Ramadhan</t>
  </si>
  <si>
    <t>Eko Firmansyah</t>
  </si>
  <si>
    <t>Ira Zulkarnain</t>
  </si>
  <si>
    <t>Ayu Wardani</t>
  </si>
  <si>
    <t>Kartika Ramadhan</t>
  </si>
  <si>
    <t>Ayu Permana</t>
  </si>
  <si>
    <t>Diah Nugroho</t>
  </si>
  <si>
    <t>Irfan Firmansyah</t>
  </si>
  <si>
    <t>Vino Tanjung</t>
  </si>
  <si>
    <t>Ira Santoso</t>
  </si>
  <si>
    <t>Ira Prasetyo</t>
  </si>
  <si>
    <t>Kurniawan Iskandar</t>
  </si>
  <si>
    <t>Dedi Pratama</t>
  </si>
  <si>
    <t>Vino Mardiana</t>
  </si>
  <si>
    <t>Hadi Lubis</t>
  </si>
  <si>
    <t>Candra Irawan</t>
  </si>
  <si>
    <t>Fitri Nasution</t>
  </si>
  <si>
    <t>Kartika Wardani</t>
  </si>
  <si>
    <t>Dimas Rahman</t>
  </si>
  <si>
    <t>Cinta Susanto</t>
  </si>
  <si>
    <t>Naufal Nugroho</t>
  </si>
  <si>
    <t>Umi Lesmana</t>
  </si>
  <si>
    <t>Tono Utama</t>
  </si>
  <si>
    <t>Farhan Irawan</t>
  </si>
  <si>
    <t>Intan Zulkarnain</t>
  </si>
  <si>
    <t>Gema Kusuma</t>
  </si>
  <si>
    <t>Farhan Mardiana</t>
  </si>
  <si>
    <t>Vina Suryadi</t>
  </si>
  <si>
    <t>Ilham Junaedi</t>
  </si>
  <si>
    <t>Vino Ramadhan</t>
  </si>
  <si>
    <t>Umar Saputra</t>
  </si>
  <si>
    <t>Oscar Setiawan</t>
  </si>
  <si>
    <t>Zainal Kusuma</t>
  </si>
  <si>
    <t>Kurniawan Zulkarnain</t>
  </si>
  <si>
    <t>Farhan Junaedi</t>
  </si>
  <si>
    <t>Lukman Oktavianus</t>
  </si>
  <si>
    <t>Tari Prasetyo</t>
  </si>
  <si>
    <t>Nurul Kusnadi</t>
  </si>
  <si>
    <t>Vina Nurdin</t>
  </si>
  <si>
    <t>Ratna Zulkarnain</t>
  </si>
  <si>
    <t>Zainal Nurdin</t>
  </si>
  <si>
    <t>Wulan Prasetyo</t>
  </si>
  <si>
    <t>Oki Iskandar</t>
  </si>
  <si>
    <t>Arif Mardiana</t>
  </si>
  <si>
    <t>Irfan Rahman</t>
  </si>
  <si>
    <t>Wulan Irawan</t>
  </si>
  <si>
    <t>Vera Pratama</t>
  </si>
  <si>
    <t>Umar Santoso</t>
  </si>
  <si>
    <t>Rina Setiawan</t>
  </si>
  <si>
    <t>Prita Wardani</t>
  </si>
  <si>
    <t>Vera Ramadhan</t>
  </si>
  <si>
    <t>Yusuf Setiawan</t>
  </si>
  <si>
    <t>Zaki Kusnadi</t>
  </si>
  <si>
    <t>Zahra Wijaya</t>
  </si>
  <si>
    <t>Tuti Kusnadi</t>
  </si>
  <si>
    <t>Dinda Maulana</t>
  </si>
  <si>
    <t>Gilang Kusnadi</t>
  </si>
  <si>
    <t>Vino Kurnia</t>
  </si>
  <si>
    <t>Umar Wahyudi</t>
  </si>
  <si>
    <t>Tari Octaviani</t>
  </si>
  <si>
    <t>Indah Lubis</t>
  </si>
  <si>
    <t>Yoga Gunawan</t>
  </si>
  <si>
    <t>Andi Nurdin</t>
  </si>
  <si>
    <t>Agus Wardani</t>
  </si>
  <si>
    <t>Dedi Kurnia</t>
  </si>
  <si>
    <t>Zaki Zulkarnain</t>
  </si>
  <si>
    <t>Ani Yulianto</t>
  </si>
  <si>
    <t>Oscar Nugroho</t>
  </si>
  <si>
    <t>Farah Zulkarnain</t>
  </si>
  <si>
    <t>Zainal Permana</t>
  </si>
  <si>
    <t>Anisa Kusuma</t>
  </si>
  <si>
    <t>Tari Hidayat</t>
  </si>
  <si>
    <t>Hadi Yusnita</t>
  </si>
  <si>
    <t>Mahmud Nasution</t>
  </si>
  <si>
    <t>Hana Hidayat</t>
  </si>
  <si>
    <t>Umar Tanjung</t>
  </si>
  <si>
    <t>Kartika Zulkarnain</t>
  </si>
  <si>
    <t>Dewi Pratama</t>
  </si>
  <si>
    <t>Intan Oktavianus</t>
  </si>
  <si>
    <t>Joko Firmansyah</t>
  </si>
  <si>
    <t>Farah Iskandar</t>
  </si>
  <si>
    <t>Mega Halim</t>
  </si>
  <si>
    <t>Ahmad Siregar</t>
  </si>
  <si>
    <t>Tuti Susanto</t>
  </si>
  <si>
    <t>Kurniawan Nasution</t>
  </si>
  <si>
    <t>Candra Prasetyo</t>
  </si>
  <si>
    <t>Sandi Kurnia</t>
  </si>
  <si>
    <t>Eko Wijaya</t>
  </si>
  <si>
    <t>Ratna Lubis</t>
  </si>
  <si>
    <t>Zainal Wijaya</t>
  </si>
  <si>
    <t>Vera Kusuma</t>
  </si>
  <si>
    <t>Rafi Octaviani</t>
  </si>
  <si>
    <t>Tari Nugroho</t>
  </si>
  <si>
    <t>Bambang Saputra</t>
  </si>
  <si>
    <t>Zahra Utama</t>
  </si>
  <si>
    <t>Ayu Firmansyah</t>
  </si>
  <si>
    <t>Sandi Maulana</t>
  </si>
  <si>
    <t>Hadi Iskandar</t>
  </si>
  <si>
    <t>Gema Susanto</t>
  </si>
  <si>
    <t>Fitri Kurnia</t>
  </si>
  <si>
    <t>Budi Rahman</t>
  </si>
  <si>
    <t>Taufik Gunawan</t>
  </si>
  <si>
    <t>Budi Tanjung</t>
  </si>
  <si>
    <t>Eko Santoso</t>
  </si>
  <si>
    <t>Putra Iskandar</t>
  </si>
  <si>
    <t>Naufal Oktavianus</t>
  </si>
  <si>
    <t>Bambang Hidayat</t>
  </si>
  <si>
    <t>Putri Utama</t>
  </si>
  <si>
    <t>Gita Wijaya</t>
  </si>
  <si>
    <t>Joko Prasetyo</t>
  </si>
  <si>
    <t>Farah Hakim</t>
  </si>
  <si>
    <t>Oscar Oktavianus</t>
  </si>
  <si>
    <t>Eko Prasetyo</t>
  </si>
  <si>
    <t>Agus Nugroho</t>
  </si>
  <si>
    <t>Irfan Octaviani</t>
  </si>
  <si>
    <t>Sinta Prasetyo</t>
  </si>
  <si>
    <t>Prita Nasution</t>
  </si>
  <si>
    <t>Yana Yulianto</t>
  </si>
  <si>
    <t>Candra Nurdin</t>
  </si>
  <si>
    <t>Diah Wibowo</t>
  </si>
  <si>
    <t>Gilang Hakim</t>
  </si>
  <si>
    <t>Sari Iskandar</t>
  </si>
  <si>
    <t>Intan Irawan</t>
  </si>
  <si>
    <t>Wahyu Ramadhan</t>
  </si>
  <si>
    <t>Eko Rahman</t>
  </si>
  <si>
    <t>Ira Firmansyah</t>
  </si>
  <si>
    <t>Ratna Wardani</t>
  </si>
  <si>
    <t>Sandi Lesmana</t>
  </si>
  <si>
    <t>Bella Kusuma</t>
  </si>
  <si>
    <t>Wisnu Oktavianus</t>
  </si>
  <si>
    <t>Wahyu Yulianto</t>
  </si>
  <si>
    <t>Siti Oktavianus</t>
  </si>
  <si>
    <t>Nurul Siregar</t>
  </si>
  <si>
    <t>Agus Lesmana</t>
  </si>
  <si>
    <t>Ahmad Nugroho</t>
  </si>
  <si>
    <t>Irfan Halim</t>
  </si>
  <si>
    <t>Kurniawan Kurnia</t>
  </si>
  <si>
    <t>Lukman Santoso</t>
  </si>
  <si>
    <t>Hendra Zulkarnain</t>
  </si>
  <si>
    <t>Erwin Yusnita</t>
  </si>
  <si>
    <t>Yuni Hidayat</t>
  </si>
  <si>
    <t>Eka Permana</t>
  </si>
  <si>
    <t>Winda Kusuma</t>
  </si>
  <si>
    <t>Vina Hidayat</t>
  </si>
  <si>
    <t>Surya Permana</t>
  </si>
  <si>
    <t>Pandu Siregar</t>
  </si>
  <si>
    <t>Putri Maulana</t>
  </si>
  <si>
    <t>Ujang Suryadi</t>
  </si>
  <si>
    <t>Elsa Lubis</t>
  </si>
  <si>
    <t>Gita Kusuma</t>
  </si>
  <si>
    <t>Siti Saputra</t>
  </si>
  <si>
    <t>Wati Santoso</t>
  </si>
  <si>
    <t>Ani Wibowo</t>
  </si>
  <si>
    <t>Fitri Hidayat</t>
  </si>
  <si>
    <t>Yusuf Nasution</t>
  </si>
  <si>
    <t>Vina Mardiana</t>
  </si>
  <si>
    <t>Sandi Halim</t>
  </si>
  <si>
    <t>Miftah Santoso</t>
  </si>
  <si>
    <t>Okta Ramadhan</t>
  </si>
  <si>
    <t>Rian Wardani</t>
  </si>
  <si>
    <t>Ujang Gunawan</t>
  </si>
  <si>
    <t>Dimas Wibowo</t>
  </si>
  <si>
    <t>Ulfa Tanjung</t>
  </si>
  <si>
    <t>Sandi Yulianto</t>
  </si>
  <si>
    <t>Winda Firmansyah</t>
  </si>
  <si>
    <t>Yana Susanto</t>
  </si>
  <si>
    <t>Gita Wahyudi</t>
  </si>
  <si>
    <t>Zainal Utama</t>
  </si>
  <si>
    <t>Krisna Prasetyo</t>
  </si>
  <si>
    <t>Wisnu Susanto</t>
  </si>
  <si>
    <t>Hesti Susanto</t>
  </si>
  <si>
    <t>Nadia Wibowo</t>
  </si>
  <si>
    <t>Jefri Santoso</t>
  </si>
  <si>
    <t>Lina Wardani</t>
  </si>
  <si>
    <t>Fira Susanto</t>
  </si>
  <si>
    <t>Ilham Utama</t>
  </si>
  <si>
    <t>Indah Nurdin</t>
  </si>
  <si>
    <t>Tono Yusnita</t>
  </si>
  <si>
    <t>Ulfa Wijaya</t>
  </si>
  <si>
    <t>Putra Wahyudi</t>
  </si>
  <si>
    <t>Rani Irawan</t>
  </si>
  <si>
    <t>Cinta Nasution</t>
  </si>
  <si>
    <t>Andi Siregar</t>
  </si>
  <si>
    <t>Wisnu Nugroho</t>
  </si>
  <si>
    <t>Intan Nasution</t>
  </si>
  <si>
    <t>Krisna Setiawan</t>
  </si>
  <si>
    <t>Putri Halim</t>
  </si>
  <si>
    <t>Arif Saputra</t>
  </si>
  <si>
    <t>Yoga Nugroho</t>
  </si>
  <si>
    <t>Naufal Firmansyah</t>
  </si>
  <si>
    <t>Tari Utama</t>
  </si>
  <si>
    <t>Nanda Iskandar</t>
  </si>
  <si>
    <t>Eko Lesmana</t>
  </si>
  <si>
    <t>Yuni Yulianto</t>
  </si>
  <si>
    <t>Lutfi Prasetyo</t>
  </si>
  <si>
    <t>Yusuf Wijaya</t>
  </si>
  <si>
    <t>Muhammad Iskandar</t>
  </si>
  <si>
    <t>Siti Octaviani</t>
  </si>
  <si>
    <t>Ani Prasetyo</t>
  </si>
  <si>
    <t>Rian Siregar</t>
  </si>
  <si>
    <t>Vino Iskandar</t>
  </si>
  <si>
    <t>Tuti Permana</t>
  </si>
  <si>
    <t>Miftah Mardiana</t>
  </si>
  <si>
    <t>Wati Iskandar</t>
  </si>
  <si>
    <t>Wisnu Zulkarnain</t>
  </si>
  <si>
    <t>Ani Rahman</t>
  </si>
  <si>
    <t>Yana Prasetyo</t>
  </si>
  <si>
    <t>Prita Irawan</t>
  </si>
  <si>
    <t>Oscar Halim</t>
  </si>
  <si>
    <t>Dedi Nasution</t>
  </si>
  <si>
    <t>Ulfa Mardiana</t>
  </si>
  <si>
    <t>Citra Gunawan</t>
  </si>
  <si>
    <t>Eka Santoso</t>
  </si>
  <si>
    <t>Lutfi Kurnia</t>
  </si>
  <si>
    <t>Nanda Hakim</t>
  </si>
  <si>
    <t>Joko Junaedi</t>
  </si>
  <si>
    <t>Prita Pratama</t>
  </si>
  <si>
    <t>Rina Yulianto</t>
  </si>
  <si>
    <t>Surya Nugroho</t>
  </si>
  <si>
    <t>Surya Oktavianus</t>
  </si>
  <si>
    <t>Zaki Hidayat</t>
  </si>
  <si>
    <t>Nanda Wahyudi</t>
  </si>
  <si>
    <t>Dewi Wibowo</t>
  </si>
  <si>
    <t>Rian Wibowo</t>
  </si>
  <si>
    <t>Anisa Yusnita</t>
  </si>
  <si>
    <t>Siti Maulana</t>
  </si>
  <si>
    <t>Ujang Permana</t>
  </si>
  <si>
    <t>Mega Rahman</t>
  </si>
  <si>
    <t>Rizky Nasution</t>
  </si>
  <si>
    <t>Hadi Zulkarnain</t>
  </si>
  <si>
    <t>Pandu Ramadhan</t>
  </si>
  <si>
    <t>Fitri Rahman</t>
  </si>
  <si>
    <t>Hadi Utama</t>
  </si>
  <si>
    <t>Hana Hakim</t>
  </si>
  <si>
    <t>Wisnu Firmansyah</t>
  </si>
  <si>
    <t>Rizky Firmansyah</t>
  </si>
  <si>
    <t>Candra Susanto</t>
  </si>
  <si>
    <t>Anisa Prasetyo</t>
  </si>
  <si>
    <t>Rian Wijaya</t>
  </si>
  <si>
    <t>Wahyu Permana</t>
  </si>
  <si>
    <t>Dimas Tanjung</t>
  </si>
  <si>
    <t>Bambang Kusnadi</t>
  </si>
  <si>
    <t>Zainal Susanto</t>
  </si>
  <si>
    <t>Gita Kusnadi</t>
  </si>
  <si>
    <t>Putra Kurnia</t>
  </si>
  <si>
    <t>Tari Firmansyah</t>
  </si>
  <si>
    <t>Yana Kurnia</t>
  </si>
  <si>
    <t>Pandu Wardani</t>
  </si>
  <si>
    <t>Wahyu Oktavianus</t>
  </si>
  <si>
    <t>Lina Lesmana</t>
  </si>
  <si>
    <t>Lutfi Tanjung</t>
  </si>
  <si>
    <t>Hesti Wardani</t>
  </si>
  <si>
    <t>Rina Kusnadi</t>
  </si>
  <si>
    <t>Hadi Wijaya</t>
  </si>
  <si>
    <t>Tono Gunawan</t>
  </si>
  <si>
    <t>Hendra Halim</t>
  </si>
  <si>
    <t>Julia Setiawan</t>
  </si>
  <si>
    <t>Yusuf Ramadhan</t>
  </si>
  <si>
    <t>Anisa Zulkarnain</t>
  </si>
  <si>
    <t>Oscar Permana</t>
  </si>
  <si>
    <t>Rani Wardani</t>
  </si>
  <si>
    <t>Ulfa Iskandar</t>
  </si>
  <si>
    <t>Arif Wahyudi</t>
  </si>
  <si>
    <t>Candra Nugroho</t>
  </si>
  <si>
    <t>Jihan Maulana</t>
  </si>
  <si>
    <t>Citra Lubis</t>
  </si>
  <si>
    <t>Hesti Rahman</t>
  </si>
  <si>
    <t>Erwin Octaviani</t>
  </si>
  <si>
    <t>Putra Halim</t>
  </si>
  <si>
    <t>Sandi Irawan</t>
  </si>
  <si>
    <t>Intan Rahman</t>
  </si>
  <si>
    <t>Rian Yulianto</t>
  </si>
  <si>
    <t>Farah Rahman</t>
  </si>
  <si>
    <t>Kurniawan Santoso</t>
  </si>
  <si>
    <t>Lukman Junaedi</t>
  </si>
  <si>
    <t>Hana Nasution</t>
  </si>
  <si>
    <t>Elsa Kusuma</t>
  </si>
  <si>
    <t>Siti Pratama</t>
  </si>
  <si>
    <t>Wisnu Nasution</t>
  </si>
  <si>
    <t>Prita Permana</t>
  </si>
  <si>
    <t>Farah Oktavianus</t>
  </si>
  <si>
    <t>Ahmad Tanjung</t>
  </si>
  <si>
    <t>Winda Lubis</t>
  </si>
  <si>
    <t>Mega Octaviani</t>
  </si>
  <si>
    <t>Vera Permana</t>
  </si>
  <si>
    <t>Naufal Yulianto</t>
  </si>
  <si>
    <t>Eko Lubis</t>
  </si>
  <si>
    <t>Surya Saputra</t>
  </si>
  <si>
    <t>Hana Santoso</t>
  </si>
  <si>
    <t>Tuti Octaviani</t>
  </si>
  <si>
    <t>Lina Kurnia</t>
  </si>
  <si>
    <t>Kartika Rahman</t>
  </si>
  <si>
    <t>Tari Wahyudi</t>
  </si>
  <si>
    <t>Fitri Tanjung</t>
  </si>
  <si>
    <t>Rani Wahyudi</t>
  </si>
  <si>
    <t>Cinta Gunawan</t>
  </si>
  <si>
    <t>Rani Oktavianus</t>
  </si>
  <si>
    <t>A</t>
  </si>
  <si>
    <t>A-</t>
  </si>
  <si>
    <t>B+</t>
  </si>
  <si>
    <t>B</t>
  </si>
  <si>
    <t>B-</t>
  </si>
  <si>
    <t>C+</t>
  </si>
  <si>
    <t>D</t>
  </si>
  <si>
    <t>E</t>
  </si>
  <si>
    <t>Nilai</t>
  </si>
  <si>
    <t>Bobot</t>
  </si>
  <si>
    <t>Data Mahasiswa Eligible</t>
  </si>
  <si>
    <t>Masukkan NIM Anda</t>
  </si>
  <si>
    <t>Status</t>
  </si>
  <si>
    <t>🎓 Cek Status Beasiswa Citra 2026</t>
  </si>
  <si>
    <t>👤 Data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</si>
</sst>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@* &quot; &quot;\: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2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2" fontId="0" fillId="0" borderId="0" xfId="0" applyNumberFormat="1"/>
    <xf numFmtId="0" fontId="4" fillId="0" borderId="0" xfId="0" applyFont="1" applyAlignment="1">
      <alignment horizontal="center" vertical="center"/>
    </xf>
    <xf numFmtId="0" fontId="0" fillId="3" borderId="1" xfId="0" applyFont="1" applyFill="1" applyBorder="1"/>
    <xf numFmtId="1" fontId="0" fillId="3" borderId="1" xfId="0" applyNumberFormat="1" applyFont="1" applyFill="1" applyBorder="1"/>
    <xf numFmtId="2" fontId="0" fillId="3" borderId="1" xfId="0" applyNumberFormat="1" applyFont="1" applyFill="1" applyBorder="1"/>
    <xf numFmtId="0" fontId="0" fillId="0" borderId="1" xfId="0" applyFont="1" applyBorder="1"/>
    <xf numFmtId="1" fontId="0" fillId="0" borderId="1" xfId="0" applyNumberFormat="1" applyFont="1" applyBorder="1"/>
    <xf numFmtId="2" fontId="0" fillId="0" borderId="1" xfId="0" applyNumberFormat="1" applyFont="1" applyBorder="1"/>
    <xf numFmtId="0" fontId="1" fillId="2" borderId="0" xfId="0" applyFont="1" applyFill="1" applyBorder="1" applyAlignment="1">
      <alignment horizontal="left" vertical="center"/>
    </xf>
    <xf numFmtId="0" fontId="0" fillId="0" borderId="0" xfId="0" quotePrefix="1"/>
    <xf numFmtId="0" fontId="2" fillId="0" borderId="0" xfId="0" applyFont="1"/>
    <xf numFmtId="0" fontId="6" fillId="0" borderId="0" xfId="0" applyFont="1" applyBorder="1"/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2" xfId="0" applyFont="1" applyBorder="1"/>
    <xf numFmtId="0" fontId="5" fillId="0" borderId="3" xfId="0" applyFont="1" applyBorder="1" applyAlignment="1">
      <alignment horizontal="left"/>
    </xf>
    <xf numFmtId="177" fontId="2" fillId="0" borderId="4" xfId="0" applyNumberFormat="1" applyFont="1" applyBorder="1" applyAlignment="1">
      <alignment horizontal="left"/>
    </xf>
    <xf numFmtId="177" fontId="2" fillId="0" borderId="6" xfId="0" applyNumberFormat="1" applyFont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1" fillId="2" borderId="3" xfId="0" applyFont="1" applyFill="1" applyBorder="1"/>
    <xf numFmtId="0" fontId="0" fillId="0" borderId="4" xfId="0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2" fontId="0" fillId="0" borderId="7" xfId="0" applyNumberForma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Normal" xfId="0" builtinId="0"/>
  </cellStyles>
  <dxfs count="45">
    <dxf>
      <font>
        <color theme="6" tint="0.39994506668294322"/>
      </font>
    </dxf>
    <dxf>
      <font>
        <color rgb="FFFF0000"/>
      </font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8F8F"/>
        </patternFill>
      </fill>
    </dxf>
    <dxf>
      <font>
        <color rgb="FFFF0000"/>
      </font>
    </dxf>
    <dxf>
      <font>
        <color theme="6" tint="0.39994506668294322"/>
      </font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8F8F"/>
        </patternFill>
      </fill>
    </dxf>
    <dxf>
      <font>
        <color theme="6" tint="0.39994506668294322"/>
      </font>
    </dxf>
    <dxf>
      <font>
        <color rgb="FFFF0000"/>
      </font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8F8F"/>
        </patternFill>
      </fill>
    </dxf>
    <dxf>
      <font>
        <color theme="6" tint="0.39994506668294322"/>
      </font>
    </dxf>
    <dxf>
      <font>
        <color rgb="FFFF0000"/>
      </font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8F8F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BD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F8F8F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79C170-2437-4F2D-84D6-AD4023EB220E}" name="datasts" displayName="datasts" ref="A1:K702" totalsRowCount="1" headerRowDxfId="31" dataDxfId="32" tableBorderDxfId="44">
  <autoFilter ref="A1:K701" xr:uid="{4979C170-2437-4F2D-84D6-AD4023EB22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7E57466-20FB-462D-A2B6-C4CD2E733C8D}" name="No" dataDxfId="43" totalsRowDxfId="28"/>
    <tableColumn id="2" xr3:uid="{0B23A10D-B074-46CB-82A3-FAFE15375C65}" name="NIM" dataDxfId="42" totalsRowDxfId="27"/>
    <tableColumn id="3" xr3:uid="{3134AE18-811C-4CD0-922D-B8EAC9A5D703}" name="Nama" dataDxfId="41" totalsRowDxfId="26"/>
    <tableColumn id="4" xr3:uid="{F1649BA6-9CAE-41EC-A97E-E65CF17FB87A}" name="Jenis Kelamin" dataDxfId="40" totalsRowDxfId="25"/>
    <tableColumn id="5" xr3:uid="{419FDC9D-6294-472A-8A3C-3B0EC83C400E}" name="Angkatan" dataDxfId="39" totalsRowDxfId="24">
      <calculatedColumnFormula>LEFT(B2,2)+2000</calculatedColumnFormula>
    </tableColumn>
    <tableColumn id="6" xr3:uid="{31C0934C-87E6-49C9-8E83-5136D0695D26}" name="Fakultas" dataDxfId="38" totalsRowDxfId="23">
      <calculatedColumnFormula>INDEX('Data Mahasiswa'!$N$1:$Q$14, MATCH(MID('Data Status Pendaftar'!B2, 5,2), 'Data Mahasiswa'!$N$1:$N$14,0),2)</calculatedColumnFormula>
    </tableColumn>
    <tableColumn id="7" xr3:uid="{E864FC0D-B33E-4AA1-9BE8-7B39854E3840}" name="Jurusan" dataDxfId="37" totalsRowDxfId="22">
      <calculatedColumnFormula array="1">INDEX('Data Mahasiswa'!$Q$2:$Q$14, MATCH(MID('Data Status Pendaftar'!B2,5,3), 'Data Mahasiswa'!$N$2:$N$14&amp;TEXT('Data Mahasiswa'!$P$2:$P$14,"0"), 0))</calculatedColumnFormula>
    </tableColumn>
    <tableColumn id="8" xr3:uid="{ACFAC526-9810-487D-939E-DF482F3BF49F}" name="Semester" dataDxfId="36" totalsRowDxfId="21">
      <calculatedColumnFormula>(YEAR(TODAY())-E2)*2</calculatedColumnFormula>
    </tableColumn>
    <tableColumn id="9" xr3:uid="{7BC8584D-857C-4232-ACBC-9F40795C0666}" name="IPK" dataDxfId="35" totalsRowDxfId="20">
      <calculatedColumnFormula>INDEX('Data Mahasiswa'!$A$1:$J$701, MATCH('Data Status Pendaftar'!B2, 'Data Mahasiswa'!$A$1:$A$701, 0), 10)</calculatedColumnFormula>
    </tableColumn>
    <tableColumn id="10" xr3:uid="{EED7A1A7-B0F9-4A3D-B981-0CB8E9C07B71}" name="Nilai Terendah" dataDxfId="34" totalsRowDxfId="19">
      <calculatedColumnFormula array="1">INDEX('Data Mahasiswa'!B2:I2,MATCH(MIN(VLOOKUP('Data Mahasiswa'!B2:I2,'Data Mahasiswa'!$N$27:$O$36,2,0)),VLOOKUP('Data Mahasiswa'!B2:I2,'Data Mahasiswa'!$N$27:$O$36,2,0),0))</calculatedColumnFormula>
    </tableColumn>
    <tableColumn id="11" xr3:uid="{0341607B-B13A-4E1D-ADBC-2B750A13AC3E}" name="Status " dataDxfId="33" totalsRowDxfId="18">
      <calculatedColumnFormula>IF(AND(E2=2025,I2&gt;=2.75,OR(J2="A",J2="A-",J2="B+",J2="B",J2="B-",J2="C+",J2="C",J2="C-")),"Eligible","Tidak Eligible")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72F698-3D6D-469C-8ACE-00BC79783C02}" name="datamhs" displayName="datamhs" ref="A1:J701" totalsRowShown="0" headerRowDxfId="29">
  <autoFilter ref="A1:J701" xr:uid="{5372F698-3D6D-469C-8ACE-00BC79783C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C363613-E77E-4D61-97C1-C5BD8759F7DD}" name="NIM"/>
    <tableColumn id="2" xr3:uid="{F088AAC6-B3A5-4402-ADCD-F3E9DCA8CFEF}" name="Mata Kuliah 1 (4 sks)"/>
    <tableColumn id="3" xr3:uid="{027F7D72-F19C-46B0-9637-D415D2FDBC24}" name="Mata kuliah 2 (4 sks)"/>
    <tableColumn id="4" xr3:uid="{BC320D24-68AA-44CF-B96F-24937082E1DE}" name="Mata kuliah 3 (2 sks)"/>
    <tableColumn id="5" xr3:uid="{9FB56C7E-F401-4A9F-AF8D-2065964DFF29}" name="Mata kuliah 4 (3 sks)"/>
    <tableColumn id="6" xr3:uid="{F7B0DAB4-B361-4A12-9FA5-A76D97EF9DD5}" name="Mata kuliah 5 (2 sks)"/>
    <tableColumn id="7" xr3:uid="{ACF2F7C7-D5FA-4AB4-9417-3C474408BA43}" name="Mata kuliah 6 (2 sks)"/>
    <tableColumn id="8" xr3:uid="{647D9B22-8154-436F-97BF-80D9410FD25D}" name="Mata kuliah 7 (3 sks)"/>
    <tableColumn id="9" xr3:uid="{110563D7-4BB1-44DF-9301-6F6CFD370382}" name="Mata kuliah 8 ( 4 sks)"/>
    <tableColumn id="10" xr3:uid="{40521072-9F80-4C93-827A-0734B504E448}" name="IPK" dataDxfId="30">
      <calculatedColumnFormula>(VLOOKUP(B2,$N$27:$O$36, 2,0)*4+VLOOKUP(C2,$N$27:$O$36, 2,0)*4+VLOOKUP(D2,$N$27:$O$36, 2,0)*2+VLOOKUP(E2,$N$27:$O$36, 2,0)*3+VLOOKUP(F2,$N$27:$O$36, 2,0)*2+VLOOKUP(G2,$N$27:$O$36, 2,0)*2+VLOOKUP(H2,$N$27:$O$36, 2,0)*3+VLOOKUP(I2,$N$27:$O$36, 2,0)*4)/24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BB0A-C3A8-4129-8951-D5A6E3C9CD53}">
  <dimension ref="B2:C13"/>
  <sheetViews>
    <sheetView showGridLines="0" zoomScale="115" zoomScaleNormal="115" workbookViewId="0">
      <selection activeCell="B5" sqref="B5:C5"/>
    </sheetView>
  </sheetViews>
  <sheetFormatPr defaultRowHeight="14.4" x14ac:dyDescent="0.3"/>
  <cols>
    <col min="2" max="2" width="22.88671875" customWidth="1"/>
    <col min="3" max="3" width="38.44140625" customWidth="1"/>
  </cols>
  <sheetData>
    <row r="2" spans="2:3" ht="28.8" x14ac:dyDescent="0.55000000000000004">
      <c r="B2" s="14" t="s">
        <v>1406</v>
      </c>
    </row>
    <row r="3" spans="2:3" ht="15" thickBot="1" x14ac:dyDescent="0.35"/>
    <row r="4" spans="2:3" ht="15.6" x14ac:dyDescent="0.3">
      <c r="B4" s="15" t="s">
        <v>1404</v>
      </c>
      <c r="C4" s="16"/>
    </row>
    <row r="5" spans="2:3" ht="15.6" x14ac:dyDescent="0.3">
      <c r="B5" s="17" t="s">
        <v>54</v>
      </c>
      <c r="C5" s="18"/>
    </row>
    <row r="6" spans="2:3" ht="15.6" x14ac:dyDescent="0.3">
      <c r="B6" s="19"/>
      <c r="C6" s="20"/>
    </row>
    <row r="7" spans="2:3" ht="16.2" thickBot="1" x14ac:dyDescent="0.35">
      <c r="B7" s="19"/>
      <c r="C7" s="20"/>
    </row>
    <row r="8" spans="2:3" ht="18" x14ac:dyDescent="0.35">
      <c r="B8" s="22" t="s">
        <v>1407</v>
      </c>
      <c r="C8" s="23"/>
    </row>
    <row r="9" spans="2:3" ht="15.6" x14ac:dyDescent="0.3">
      <c r="B9" s="24" t="s">
        <v>1</v>
      </c>
      <c r="C9" s="20" t="str">
        <f>IF(
Sheet4!B5="",
"",
IFERROR(
_xlfn.XLOOKUP(Sheet4!B5,datasts[NIM],datasts[Nama]),
"Maaf NIM Tidak Ditemukan"
))</f>
        <v>Citra Nugroho</v>
      </c>
    </row>
    <row r="10" spans="2:3" ht="15.6" x14ac:dyDescent="0.3">
      <c r="B10" s="24" t="s">
        <v>42</v>
      </c>
      <c r="C10" s="20">
        <f>IF(
Sheet4!B5="",
"",
IFERROR(
_xlfn.XLOOKUP(Sheet4!B5,datasts[NIM],datasts[Angkatan]),
"Maaf NIM Tidak Ditemukan"
))</f>
        <v>2025</v>
      </c>
    </row>
    <row r="11" spans="2:3" ht="16.2" thickBot="1" x14ac:dyDescent="0.35">
      <c r="B11" s="25" t="s">
        <v>1405</v>
      </c>
      <c r="C11" s="21" t="str">
        <f>IF(
Sheet4!B5="",
"",
IFERROR(
_xlfn.XLOOKUP(Sheet4!B5,datasts[NIM],datasts[[Status ]]),
"Maaf NIM Tidak Ditemukan"
))</f>
        <v>Tidak Eligible</v>
      </c>
    </row>
    <row r="13" spans="2:3" ht="15.6" x14ac:dyDescent="0.3">
      <c r="B13" s="13" t="str">
        <f>IF(B5="","",
IFERROR(
IF(C11="Eligible",
"Selamat! Anda memenuhi syarat untuk mendaftar Beasiswa Citra 2026",
"Maaf, Anda belum memenuhi persyaratan Beasiswa Citra 2026"),
"Maaf, NIM tidak ditemukan."))</f>
        <v>Maaf, Anda belum memenuhi persyaratan Beasiswa Citra 2026</v>
      </c>
    </row>
  </sheetData>
  <mergeCells count="2">
    <mergeCell ref="B4:C4"/>
    <mergeCell ref="B5:C5"/>
  </mergeCells>
  <conditionalFormatting sqref="C11">
    <cfRule type="containsText" dxfId="7" priority="3" operator="containsText" text="Tidak Eligible">
      <formula>NOT(ISERROR(SEARCH("Tidak Eligible",C11)))</formula>
    </cfRule>
    <cfRule type="containsText" dxfId="6" priority="4" operator="containsText" text="Eligible">
      <formula>NOT(ISERROR(SEARCH("Eligible",C11)))</formula>
    </cfRule>
  </conditionalFormatting>
  <conditionalFormatting sqref="B13">
    <cfRule type="containsText" dxfId="4" priority="1" operator="containsText" text="Maaf, Anda belum memenuhi persyaratan Beasiswa Citra 2026">
      <formula>NOT(ISERROR(SEARCH("Maaf, Anda belum memenuhi persyaratan Beasiswa Citra 2026",B13)))</formula>
    </cfRule>
    <cfRule type="containsText" dxfId="5" priority="2" operator="containsText" text="Selamat! Anda memenuhi syarat untuk mendaftar Beasiswa Citra 2026">
      <formula>NOT(ISERROR(SEARCH("Selamat! Anda memenuhi syarat untuk mendaftar Beasiswa Citra 2026",B13)))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MASUKKAN NIM" xr:uid="{D22CA385-141D-4311-8CCE-4FC6EF3973E1}">
          <x14:formula1>
            <xm:f>'Data Status Pendaftar'!$B$2:$B$701</xm:f>
          </x14:formula1>
          <xm:sqref>B5:C5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911C-1455-46D0-8B70-C29D38D4ADD9}">
  <dimension ref="A1:K702"/>
  <sheetViews>
    <sheetView workbookViewId="0">
      <selection activeCell="M6" sqref="M6"/>
    </sheetView>
  </sheetViews>
  <sheetFormatPr defaultRowHeight="14.4" x14ac:dyDescent="0.3"/>
  <cols>
    <col min="2" max="2" width="12.88671875" bestFit="1" customWidth="1"/>
    <col min="3" max="3" width="20.44140625" bestFit="1" customWidth="1"/>
    <col min="4" max="4" width="14.21875" customWidth="1"/>
    <col min="5" max="5" width="10.5546875" customWidth="1"/>
    <col min="6" max="6" width="10" customWidth="1"/>
    <col min="7" max="7" width="16.88671875" bestFit="1" customWidth="1"/>
    <col min="8" max="8" width="12.5546875" bestFit="1" customWidth="1"/>
    <col min="9" max="9" width="16.88671875" bestFit="1" customWidth="1"/>
    <col min="10" max="10" width="14.88671875" customWidth="1"/>
    <col min="11" max="11" width="13.33203125" customWidth="1"/>
  </cols>
  <sheetData>
    <row r="1" spans="1:11" ht="19.8" customHeight="1" x14ac:dyDescent="0.3">
      <c r="A1" s="11" t="s">
        <v>751</v>
      </c>
      <c r="B1" s="11" t="s">
        <v>0</v>
      </c>
      <c r="C1" s="11" t="s">
        <v>1</v>
      </c>
      <c r="D1" s="11" t="s">
        <v>41</v>
      </c>
      <c r="E1" s="11" t="s">
        <v>42</v>
      </c>
      <c r="F1" s="11" t="s">
        <v>5</v>
      </c>
      <c r="G1" s="11" t="s">
        <v>6</v>
      </c>
      <c r="H1" s="11" t="s">
        <v>4</v>
      </c>
      <c r="I1" s="11" t="s">
        <v>2</v>
      </c>
      <c r="J1" s="11" t="s">
        <v>7</v>
      </c>
      <c r="K1" s="11" t="s">
        <v>3</v>
      </c>
    </row>
    <row r="2" spans="1:11" x14ac:dyDescent="0.3">
      <c r="A2" s="5">
        <v>1</v>
      </c>
      <c r="B2" s="5" t="s">
        <v>52</v>
      </c>
      <c r="C2" s="5" t="s">
        <v>781</v>
      </c>
      <c r="D2" s="5" t="s">
        <v>780</v>
      </c>
      <c r="E2" s="6">
        <f>LEFT(B2,2)+2000</f>
        <v>2025</v>
      </c>
      <c r="F2" s="5" t="str">
        <f>INDEX('Data Mahasiswa'!$N$1:$Q$14, MATCH(MID('Data Status Pendaftar'!B2, 5,2), 'Data Mahasiswa'!$N$1:$N$14,0),2)</f>
        <v>Sains</v>
      </c>
      <c r="G2" s="5" t="str" cm="1">
        <f t="array" ref="G2">INDEX('Data Mahasiswa'!$Q$2:$Q$14, MATCH(MID('Data Status Pendaftar'!B2,5,3), 'Data Mahasiswa'!$N$2:$N$14&amp;TEXT('Data Mahasiswa'!$P$2:$P$14,"0"), 0))</f>
        <v>Matematika</v>
      </c>
      <c r="H2" s="6">
        <f ca="1">(YEAR(TODAY())-E2)*2</f>
        <v>2</v>
      </c>
      <c r="I2" s="7">
        <f>INDEX('Data Mahasiswa'!$A$1:$J$701, MATCH('Data Status Pendaftar'!B2, 'Data Mahasiswa'!$A$1:$A$701, 0), 10)</f>
        <v>3.4791666666666665</v>
      </c>
      <c r="J2" s="5" t="str" cm="1">
        <f t="array" ref="J2">INDEX('Data Mahasiswa'!B2:I2,MATCH(MIN(VLOOKUP('Data Mahasiswa'!B2:I2,'Data Mahasiswa'!$N$27:$O$36,2,0)),VLOOKUP('Data Mahasiswa'!B2:I2,'Data Mahasiswa'!$N$27:$O$36,2,0),0))</f>
        <v>B-</v>
      </c>
      <c r="K2" s="5" t="str">
        <f>IF(AND(E2=2025,I2&gt;=2.75,OR(J2="A",J2="A-",J2="B+",J2="B",J2="B-",J2="C+",J2="C",J2="C-")),"Eligible","Tidak Eligible")</f>
        <v>Eligible</v>
      </c>
    </row>
    <row r="3" spans="1:11" x14ac:dyDescent="0.3">
      <c r="A3" s="8">
        <v>2</v>
      </c>
      <c r="B3" s="8" t="s">
        <v>53</v>
      </c>
      <c r="C3" s="8" t="s">
        <v>782</v>
      </c>
      <c r="D3" s="8" t="s">
        <v>779</v>
      </c>
      <c r="E3" s="9">
        <f t="shared" ref="E3:E66" si="0">LEFT(B3,2)+2000</f>
        <v>2025</v>
      </c>
      <c r="F3" s="8" t="str">
        <f>INDEX('Data Mahasiswa'!$N$1:$Q$14, MATCH(MID('Data Status Pendaftar'!B3, 5,2), 'Data Mahasiswa'!$N$1:$N$14,0),2)</f>
        <v>Sains</v>
      </c>
      <c r="G3" s="8" t="str" cm="1">
        <f t="array" ref="G3">INDEX('Data Mahasiswa'!$Q$2:$Q$14, MATCH(MID('Data Status Pendaftar'!B3,5,3), 'Data Mahasiswa'!$N$2:$N$14&amp;TEXT('Data Mahasiswa'!$P$2:$P$14,"0"), 0))</f>
        <v>Matematika</v>
      </c>
      <c r="H3" s="9">
        <f t="shared" ref="H3:H66" ca="1" si="1">(YEAR(TODAY())-E3)*2</f>
        <v>2</v>
      </c>
      <c r="I3" s="10">
        <f>INDEX('Data Mahasiswa'!$A$1:$J$701, MATCH('Data Status Pendaftar'!B3, 'Data Mahasiswa'!$A$1:$A$701, 0), 10)</f>
        <v>3.7083333333333335</v>
      </c>
      <c r="J3" s="8" t="str" cm="1">
        <f t="array" ref="J3">INDEX('Data Mahasiswa'!B3:I3,MATCH(MIN(VLOOKUP('Data Mahasiswa'!B3:I3,'Data Mahasiswa'!$N$27:$O$36,2,0)),VLOOKUP('Data Mahasiswa'!B3:I3,'Data Mahasiswa'!$N$27:$O$36,2,0),0))</f>
        <v>C+</v>
      </c>
      <c r="K3" s="8" t="str">
        <f t="shared" ref="K3:K66" si="2">IF(AND(E3=2025,I3&gt;=2.75,OR(J3="A",J3="A-",J3="B+",J3="B",J3="B-",J3="C+",J3="C",J3="C-")),"Eligible","Tidak Eligible")</f>
        <v>Eligible</v>
      </c>
    </row>
    <row r="4" spans="1:11" x14ac:dyDescent="0.3">
      <c r="A4" s="5">
        <v>3</v>
      </c>
      <c r="B4" s="5" t="s">
        <v>54</v>
      </c>
      <c r="C4" s="5" t="s">
        <v>783</v>
      </c>
      <c r="D4" s="5" t="s">
        <v>779</v>
      </c>
      <c r="E4" s="6">
        <f t="shared" si="0"/>
        <v>2025</v>
      </c>
      <c r="F4" s="5" t="str">
        <f>INDEX('Data Mahasiswa'!$N$1:$Q$14, MATCH(MID('Data Status Pendaftar'!B4, 5,2), 'Data Mahasiswa'!$N$1:$N$14,0),2)</f>
        <v>Sains</v>
      </c>
      <c r="G4" s="5" t="str" cm="1">
        <f t="array" ref="G4">INDEX('Data Mahasiswa'!$Q$2:$Q$14, MATCH(MID('Data Status Pendaftar'!B4,5,3), 'Data Mahasiswa'!$N$2:$N$14&amp;TEXT('Data Mahasiswa'!$P$2:$P$14,"0"), 0))</f>
        <v>Matematika</v>
      </c>
      <c r="H4" s="6">
        <f t="shared" ca="1" si="1"/>
        <v>2</v>
      </c>
      <c r="I4" s="7">
        <f>INDEX('Data Mahasiswa'!$A$1:$J$701, MATCH('Data Status Pendaftar'!B4, 'Data Mahasiswa'!$A$1:$A$701, 0), 10)</f>
        <v>2.5625</v>
      </c>
      <c r="J4" s="5" t="str" cm="1">
        <f t="array" ref="J4">INDEX('Data Mahasiswa'!B4:I4,MATCH(MIN(VLOOKUP('Data Mahasiswa'!B4:I4,'Data Mahasiswa'!$N$27:$O$36,2,0)),VLOOKUP('Data Mahasiswa'!B4:I4,'Data Mahasiswa'!$N$27:$O$36,2,0),0))</f>
        <v>E</v>
      </c>
      <c r="K4" s="5" t="str">
        <f t="shared" si="2"/>
        <v>Tidak Eligible</v>
      </c>
    </row>
    <row r="5" spans="1:11" x14ac:dyDescent="0.3">
      <c r="A5" s="8">
        <v>4</v>
      </c>
      <c r="B5" s="8" t="s">
        <v>55</v>
      </c>
      <c r="C5" s="8" t="s">
        <v>784</v>
      </c>
      <c r="D5" s="8" t="s">
        <v>780</v>
      </c>
      <c r="E5" s="9">
        <f t="shared" si="0"/>
        <v>2025</v>
      </c>
      <c r="F5" s="8" t="str">
        <f>INDEX('Data Mahasiswa'!$N$1:$Q$14, MATCH(MID('Data Status Pendaftar'!B5, 5,2), 'Data Mahasiswa'!$N$1:$N$14,0),2)</f>
        <v>Sains</v>
      </c>
      <c r="G5" s="8" t="str" cm="1">
        <f t="array" ref="G5">INDEX('Data Mahasiswa'!$Q$2:$Q$14, MATCH(MID('Data Status Pendaftar'!B5,5,3), 'Data Mahasiswa'!$N$2:$N$14&amp;TEXT('Data Mahasiswa'!$P$2:$P$14,"0"), 0))</f>
        <v>Matematika</v>
      </c>
      <c r="H5" s="9">
        <f t="shared" ca="1" si="1"/>
        <v>2</v>
      </c>
      <c r="I5" s="10">
        <f>INDEX('Data Mahasiswa'!$A$1:$J$701, MATCH('Data Status Pendaftar'!B5, 'Data Mahasiswa'!$A$1:$A$701, 0), 10)</f>
        <v>3.4270833333333335</v>
      </c>
      <c r="J5" s="8" t="str" cm="1">
        <f t="array" ref="J5">INDEX('Data Mahasiswa'!B5:I5,MATCH(MIN(VLOOKUP('Data Mahasiswa'!B5:I5,'Data Mahasiswa'!$N$27:$O$36,2,0)),VLOOKUP('Data Mahasiswa'!B5:I5,'Data Mahasiswa'!$N$27:$O$36,2,0),0))</f>
        <v>C+</v>
      </c>
      <c r="K5" s="8" t="str">
        <f t="shared" si="2"/>
        <v>Eligible</v>
      </c>
    </row>
    <row r="6" spans="1:11" x14ac:dyDescent="0.3">
      <c r="A6" s="5">
        <v>5</v>
      </c>
      <c r="B6" s="5" t="s">
        <v>56</v>
      </c>
      <c r="C6" s="5" t="s">
        <v>785</v>
      </c>
      <c r="D6" s="5" t="s">
        <v>779</v>
      </c>
      <c r="E6" s="6">
        <f t="shared" si="0"/>
        <v>2025</v>
      </c>
      <c r="F6" s="5" t="str">
        <f>INDEX('Data Mahasiswa'!$N$1:$Q$14, MATCH(MID('Data Status Pendaftar'!B6, 5,2), 'Data Mahasiswa'!$N$1:$N$14,0),2)</f>
        <v>Sains</v>
      </c>
      <c r="G6" s="5" t="str" cm="1">
        <f t="array" ref="G6">INDEX('Data Mahasiswa'!$Q$2:$Q$14, MATCH(MID('Data Status Pendaftar'!B6,5,3), 'Data Mahasiswa'!$N$2:$N$14&amp;TEXT('Data Mahasiswa'!$P$2:$P$14,"0"), 0))</f>
        <v>Matematika</v>
      </c>
      <c r="H6" s="6">
        <f t="shared" ca="1" si="1"/>
        <v>2</v>
      </c>
      <c r="I6" s="7">
        <f>INDEX('Data Mahasiswa'!$A$1:$J$701, MATCH('Data Status Pendaftar'!B6, 'Data Mahasiswa'!$A$1:$A$701, 0), 10)</f>
        <v>3.4270833333333335</v>
      </c>
      <c r="J6" s="5" t="str" cm="1">
        <f t="array" ref="J6">INDEX('Data Mahasiswa'!B6:I6,MATCH(MIN(VLOOKUP('Data Mahasiswa'!B6:I6,'Data Mahasiswa'!$N$27:$O$36,2,0)),VLOOKUP('Data Mahasiswa'!B6:I6,'Data Mahasiswa'!$N$27:$O$36,2,0),0))</f>
        <v>B-</v>
      </c>
      <c r="K6" s="5" t="str">
        <f t="shared" si="2"/>
        <v>Eligible</v>
      </c>
    </row>
    <row r="7" spans="1:11" x14ac:dyDescent="0.3">
      <c r="A7" s="8">
        <v>6</v>
      </c>
      <c r="B7" s="8" t="s">
        <v>57</v>
      </c>
      <c r="C7" s="8" t="s">
        <v>786</v>
      </c>
      <c r="D7" s="8" t="s">
        <v>779</v>
      </c>
      <c r="E7" s="9">
        <f t="shared" si="0"/>
        <v>2025</v>
      </c>
      <c r="F7" s="8" t="str">
        <f>INDEX('Data Mahasiswa'!$N$1:$Q$14, MATCH(MID('Data Status Pendaftar'!B7, 5,2), 'Data Mahasiswa'!$N$1:$N$14,0),2)</f>
        <v>Sains</v>
      </c>
      <c r="G7" s="8" t="str" cm="1">
        <f t="array" ref="G7">INDEX('Data Mahasiswa'!$Q$2:$Q$14, MATCH(MID('Data Status Pendaftar'!B7,5,3), 'Data Mahasiswa'!$N$2:$N$14&amp;TEXT('Data Mahasiswa'!$P$2:$P$14,"0"), 0))</f>
        <v>Matematika</v>
      </c>
      <c r="H7" s="9">
        <f t="shared" ca="1" si="1"/>
        <v>2</v>
      </c>
      <c r="I7" s="10">
        <f>INDEX('Data Mahasiswa'!$A$1:$J$701, MATCH('Data Status Pendaftar'!B7, 'Data Mahasiswa'!$A$1:$A$701, 0), 10)</f>
        <v>2.9479166666666665</v>
      </c>
      <c r="J7" s="8" t="str" cm="1">
        <f t="array" ref="J7">INDEX('Data Mahasiswa'!B7:I7,MATCH(MIN(VLOOKUP('Data Mahasiswa'!B7:I7,'Data Mahasiswa'!$N$27:$O$36,2,0)),VLOOKUP('Data Mahasiswa'!B7:I7,'Data Mahasiswa'!$N$27:$O$36,2,0),0))</f>
        <v>C</v>
      </c>
      <c r="K7" s="8" t="str">
        <f t="shared" si="2"/>
        <v>Eligible</v>
      </c>
    </row>
    <row r="8" spans="1:11" x14ac:dyDescent="0.3">
      <c r="A8" s="5">
        <v>7</v>
      </c>
      <c r="B8" s="5" t="s">
        <v>58</v>
      </c>
      <c r="C8" s="5" t="s">
        <v>787</v>
      </c>
      <c r="D8" s="5" t="s">
        <v>779</v>
      </c>
      <c r="E8" s="6">
        <f t="shared" si="0"/>
        <v>2025</v>
      </c>
      <c r="F8" s="5" t="str">
        <f>INDEX('Data Mahasiswa'!$N$1:$Q$14, MATCH(MID('Data Status Pendaftar'!B8, 5,2), 'Data Mahasiswa'!$N$1:$N$14,0),2)</f>
        <v>Sains</v>
      </c>
      <c r="G8" s="5" t="str" cm="1">
        <f t="array" ref="G8">INDEX('Data Mahasiswa'!$Q$2:$Q$14, MATCH(MID('Data Status Pendaftar'!B8,5,3), 'Data Mahasiswa'!$N$2:$N$14&amp;TEXT('Data Mahasiswa'!$P$2:$P$14,"0"), 0))</f>
        <v>Matematika</v>
      </c>
      <c r="H8" s="6">
        <f t="shared" ca="1" si="1"/>
        <v>2</v>
      </c>
      <c r="I8" s="7">
        <f>INDEX('Data Mahasiswa'!$A$1:$J$701, MATCH('Data Status Pendaftar'!B8, 'Data Mahasiswa'!$A$1:$A$701, 0), 10)</f>
        <v>3.0520833333333335</v>
      </c>
      <c r="J8" s="5" t="str" cm="1">
        <f t="array" ref="J8">INDEX('Data Mahasiswa'!B8:I8,MATCH(MIN(VLOOKUP('Data Mahasiswa'!B8:I8,'Data Mahasiswa'!$N$27:$O$36,2,0)),VLOOKUP('Data Mahasiswa'!B8:I8,'Data Mahasiswa'!$N$27:$O$36,2,0),0))</f>
        <v>E</v>
      </c>
      <c r="K8" s="5" t="str">
        <f t="shared" si="2"/>
        <v>Tidak Eligible</v>
      </c>
    </row>
    <row r="9" spans="1:11" x14ac:dyDescent="0.3">
      <c r="A9" s="8">
        <v>8</v>
      </c>
      <c r="B9" s="8" t="s">
        <v>59</v>
      </c>
      <c r="C9" s="8" t="s">
        <v>788</v>
      </c>
      <c r="D9" s="8" t="s">
        <v>779</v>
      </c>
      <c r="E9" s="9">
        <f t="shared" si="0"/>
        <v>2025</v>
      </c>
      <c r="F9" s="8" t="str">
        <f>INDEX('Data Mahasiswa'!$N$1:$Q$14, MATCH(MID('Data Status Pendaftar'!B9, 5,2), 'Data Mahasiswa'!$N$1:$N$14,0),2)</f>
        <v>Sains</v>
      </c>
      <c r="G9" s="8" t="str" cm="1">
        <f t="array" ref="G9">INDEX('Data Mahasiswa'!$Q$2:$Q$14, MATCH(MID('Data Status Pendaftar'!B9,5,3), 'Data Mahasiswa'!$N$2:$N$14&amp;TEXT('Data Mahasiswa'!$P$2:$P$14,"0"), 0))</f>
        <v>Matematika</v>
      </c>
      <c r="H9" s="9">
        <f t="shared" ca="1" si="1"/>
        <v>2</v>
      </c>
      <c r="I9" s="10">
        <f>INDEX('Data Mahasiswa'!$A$1:$J$701, MATCH('Data Status Pendaftar'!B9, 'Data Mahasiswa'!$A$1:$A$701, 0), 10)</f>
        <v>3.0104166666666665</v>
      </c>
      <c r="J9" s="8" t="str" cm="1">
        <f t="array" ref="J9">INDEX('Data Mahasiswa'!B9:I9,MATCH(MIN(VLOOKUP('Data Mahasiswa'!B9:I9,'Data Mahasiswa'!$N$27:$O$36,2,0)),VLOOKUP('Data Mahasiswa'!B9:I9,'Data Mahasiswa'!$N$27:$O$36,2,0),0))</f>
        <v>C</v>
      </c>
      <c r="K9" s="8" t="str">
        <f t="shared" si="2"/>
        <v>Eligible</v>
      </c>
    </row>
    <row r="10" spans="1:11" x14ac:dyDescent="0.3">
      <c r="A10" s="5">
        <v>9</v>
      </c>
      <c r="B10" s="5" t="s">
        <v>60</v>
      </c>
      <c r="C10" s="5" t="s">
        <v>789</v>
      </c>
      <c r="D10" s="5" t="s">
        <v>779</v>
      </c>
      <c r="E10" s="6">
        <f t="shared" si="0"/>
        <v>2025</v>
      </c>
      <c r="F10" s="5" t="str">
        <f>INDEX('Data Mahasiswa'!$N$1:$Q$14, MATCH(MID('Data Status Pendaftar'!B10, 5,2), 'Data Mahasiswa'!$N$1:$N$14,0),2)</f>
        <v>Sains</v>
      </c>
      <c r="G10" s="5" t="str" cm="1">
        <f t="array" ref="G10">INDEX('Data Mahasiswa'!$Q$2:$Q$14, MATCH(MID('Data Status Pendaftar'!B10,5,3), 'Data Mahasiswa'!$N$2:$N$14&amp;TEXT('Data Mahasiswa'!$P$2:$P$14,"0"), 0))</f>
        <v>Matematika</v>
      </c>
      <c r="H10" s="6">
        <f t="shared" ca="1" si="1"/>
        <v>2</v>
      </c>
      <c r="I10" s="7">
        <f>INDEX('Data Mahasiswa'!$A$1:$J$701, MATCH('Data Status Pendaftar'!B10, 'Data Mahasiswa'!$A$1:$A$701, 0), 10)</f>
        <v>2.7708333333333335</v>
      </c>
      <c r="J10" s="5" t="str" cm="1">
        <f t="array" ref="J10">INDEX('Data Mahasiswa'!B10:I10,MATCH(MIN(VLOOKUP('Data Mahasiswa'!B10:I10,'Data Mahasiswa'!$N$27:$O$36,2,0)),VLOOKUP('Data Mahasiswa'!B10:I10,'Data Mahasiswa'!$N$27:$O$36,2,0),0))</f>
        <v>D</v>
      </c>
      <c r="K10" s="5" t="str">
        <f t="shared" si="2"/>
        <v>Tidak Eligible</v>
      </c>
    </row>
    <row r="11" spans="1:11" x14ac:dyDescent="0.3">
      <c r="A11" s="8">
        <v>10</v>
      </c>
      <c r="B11" s="8" t="s">
        <v>61</v>
      </c>
      <c r="C11" s="8" t="s">
        <v>790</v>
      </c>
      <c r="D11" s="8" t="s">
        <v>780</v>
      </c>
      <c r="E11" s="9">
        <f t="shared" si="0"/>
        <v>2025</v>
      </c>
      <c r="F11" s="8" t="str">
        <f>INDEX('Data Mahasiswa'!$N$1:$Q$14, MATCH(MID('Data Status Pendaftar'!B11, 5,2), 'Data Mahasiswa'!$N$1:$N$14,0),2)</f>
        <v>Sains</v>
      </c>
      <c r="G11" s="8" t="str" cm="1">
        <f t="array" ref="G11">INDEX('Data Mahasiswa'!$Q$2:$Q$14, MATCH(MID('Data Status Pendaftar'!B11,5,3), 'Data Mahasiswa'!$N$2:$N$14&amp;TEXT('Data Mahasiswa'!$P$2:$P$14,"0"), 0))</f>
        <v>Matematika</v>
      </c>
      <c r="H11" s="9">
        <f t="shared" ca="1" si="1"/>
        <v>2</v>
      </c>
      <c r="I11" s="10">
        <f>INDEX('Data Mahasiswa'!$A$1:$J$701, MATCH('Data Status Pendaftar'!B11, 'Data Mahasiswa'!$A$1:$A$701, 0), 10)</f>
        <v>2.65625</v>
      </c>
      <c r="J11" s="8" t="str" cm="1">
        <f t="array" ref="J11">INDEX('Data Mahasiswa'!B11:I11,MATCH(MIN(VLOOKUP('Data Mahasiswa'!B11:I11,'Data Mahasiswa'!$N$27:$O$36,2,0)),VLOOKUP('Data Mahasiswa'!B11:I11,'Data Mahasiswa'!$N$27:$O$36,2,0),0))</f>
        <v>E</v>
      </c>
      <c r="K11" s="8" t="str">
        <f t="shared" si="2"/>
        <v>Tidak Eligible</v>
      </c>
    </row>
    <row r="12" spans="1:11" x14ac:dyDescent="0.3">
      <c r="A12" s="5">
        <v>11</v>
      </c>
      <c r="B12" s="5" t="s">
        <v>62</v>
      </c>
      <c r="C12" s="5" t="s">
        <v>791</v>
      </c>
      <c r="D12" s="5" t="s">
        <v>779</v>
      </c>
      <c r="E12" s="6">
        <f t="shared" si="0"/>
        <v>2025</v>
      </c>
      <c r="F12" s="5" t="str">
        <f>INDEX('Data Mahasiswa'!$N$1:$Q$14, MATCH(MID('Data Status Pendaftar'!B12, 5,2), 'Data Mahasiswa'!$N$1:$N$14,0),2)</f>
        <v>Sains</v>
      </c>
      <c r="G12" s="5" t="str" cm="1">
        <f t="array" ref="G12">INDEX('Data Mahasiswa'!$Q$2:$Q$14, MATCH(MID('Data Status Pendaftar'!B12,5,3), 'Data Mahasiswa'!$N$2:$N$14&amp;TEXT('Data Mahasiswa'!$P$2:$P$14,"0"), 0))</f>
        <v>Matematika</v>
      </c>
      <c r="H12" s="6">
        <f t="shared" ca="1" si="1"/>
        <v>2</v>
      </c>
      <c r="I12" s="7">
        <f>INDEX('Data Mahasiswa'!$A$1:$J$701, MATCH('Data Status Pendaftar'!B12, 'Data Mahasiswa'!$A$1:$A$701, 0), 10)</f>
        <v>3.3541666666666665</v>
      </c>
      <c r="J12" s="5" t="str" cm="1">
        <f t="array" ref="J12">INDEX('Data Mahasiswa'!B12:I12,MATCH(MIN(VLOOKUP('Data Mahasiswa'!B12:I12,'Data Mahasiswa'!$N$27:$O$36,2,0)),VLOOKUP('Data Mahasiswa'!B12:I12,'Data Mahasiswa'!$N$27:$O$36,2,0),0))</f>
        <v>C</v>
      </c>
      <c r="K12" s="5" t="str">
        <f t="shared" si="2"/>
        <v>Eligible</v>
      </c>
    </row>
    <row r="13" spans="1:11" x14ac:dyDescent="0.3">
      <c r="A13" s="8">
        <v>12</v>
      </c>
      <c r="B13" s="8" t="s">
        <v>63</v>
      </c>
      <c r="C13" s="8" t="s">
        <v>792</v>
      </c>
      <c r="D13" s="8" t="s">
        <v>779</v>
      </c>
      <c r="E13" s="9">
        <f t="shared" si="0"/>
        <v>2025</v>
      </c>
      <c r="F13" s="8" t="str">
        <f>INDEX('Data Mahasiswa'!$N$1:$Q$14, MATCH(MID('Data Status Pendaftar'!B13, 5,2), 'Data Mahasiswa'!$N$1:$N$14,0),2)</f>
        <v>Sains</v>
      </c>
      <c r="G13" s="8" t="str" cm="1">
        <f t="array" ref="G13">INDEX('Data Mahasiswa'!$Q$2:$Q$14, MATCH(MID('Data Status Pendaftar'!B13,5,3), 'Data Mahasiswa'!$N$2:$N$14&amp;TEXT('Data Mahasiswa'!$P$2:$P$14,"0"), 0))</f>
        <v>Matematika</v>
      </c>
      <c r="H13" s="9">
        <f t="shared" ca="1" si="1"/>
        <v>2</v>
      </c>
      <c r="I13" s="10">
        <f>INDEX('Data Mahasiswa'!$A$1:$J$701, MATCH('Data Status Pendaftar'!B13, 'Data Mahasiswa'!$A$1:$A$701, 0), 10)</f>
        <v>3.1770833333333335</v>
      </c>
      <c r="J13" s="8" t="str" cm="1">
        <f t="array" ref="J13">INDEX('Data Mahasiswa'!B13:I13,MATCH(MIN(VLOOKUP('Data Mahasiswa'!B13:I13,'Data Mahasiswa'!$N$27:$O$36,2,0)),VLOOKUP('Data Mahasiswa'!B13:I13,'Data Mahasiswa'!$N$27:$O$36,2,0),0))</f>
        <v>C</v>
      </c>
      <c r="K13" s="8" t="str">
        <f t="shared" si="2"/>
        <v>Eligible</v>
      </c>
    </row>
    <row r="14" spans="1:11" x14ac:dyDescent="0.3">
      <c r="A14" s="5">
        <v>13</v>
      </c>
      <c r="B14" s="5" t="s">
        <v>64</v>
      </c>
      <c r="C14" s="5" t="s">
        <v>793</v>
      </c>
      <c r="D14" s="5" t="s">
        <v>779</v>
      </c>
      <c r="E14" s="6">
        <f t="shared" si="0"/>
        <v>2025</v>
      </c>
      <c r="F14" s="5" t="str">
        <f>INDEX('Data Mahasiswa'!$N$1:$Q$14, MATCH(MID('Data Status Pendaftar'!B14, 5,2), 'Data Mahasiswa'!$N$1:$N$14,0),2)</f>
        <v>Sains</v>
      </c>
      <c r="G14" s="5" t="str" cm="1">
        <f t="array" ref="G14">INDEX('Data Mahasiswa'!$Q$2:$Q$14, MATCH(MID('Data Status Pendaftar'!B14,5,3), 'Data Mahasiswa'!$N$2:$N$14&amp;TEXT('Data Mahasiswa'!$P$2:$P$14,"0"), 0))</f>
        <v>Matematika</v>
      </c>
      <c r="H14" s="6">
        <f t="shared" ca="1" si="1"/>
        <v>2</v>
      </c>
      <c r="I14" s="7">
        <f>INDEX('Data Mahasiswa'!$A$1:$J$701, MATCH('Data Status Pendaftar'!B14, 'Data Mahasiswa'!$A$1:$A$701, 0), 10)</f>
        <v>3.0625</v>
      </c>
      <c r="J14" s="5" t="str" cm="1">
        <f t="array" ref="J14">INDEX('Data Mahasiswa'!B14:I14,MATCH(MIN(VLOOKUP('Data Mahasiswa'!B14:I14,'Data Mahasiswa'!$N$27:$O$36,2,0)),VLOOKUP('Data Mahasiswa'!B14:I14,'Data Mahasiswa'!$N$27:$O$36,2,0),0))</f>
        <v>D</v>
      </c>
      <c r="K14" s="5" t="str">
        <f t="shared" si="2"/>
        <v>Tidak Eligible</v>
      </c>
    </row>
    <row r="15" spans="1:11" x14ac:dyDescent="0.3">
      <c r="A15" s="8">
        <v>14</v>
      </c>
      <c r="B15" s="8" t="s">
        <v>65</v>
      </c>
      <c r="C15" s="8" t="s">
        <v>794</v>
      </c>
      <c r="D15" s="8" t="s">
        <v>779</v>
      </c>
      <c r="E15" s="9">
        <f t="shared" si="0"/>
        <v>2025</v>
      </c>
      <c r="F15" s="8" t="str">
        <f>INDEX('Data Mahasiswa'!$N$1:$Q$14, MATCH(MID('Data Status Pendaftar'!B15, 5,2), 'Data Mahasiswa'!$N$1:$N$14,0),2)</f>
        <v>Sains</v>
      </c>
      <c r="G15" s="8" t="str" cm="1">
        <f t="array" ref="G15">INDEX('Data Mahasiswa'!$Q$2:$Q$14, MATCH(MID('Data Status Pendaftar'!B15,5,3), 'Data Mahasiswa'!$N$2:$N$14&amp;TEXT('Data Mahasiswa'!$P$2:$P$14,"0"), 0))</f>
        <v>Matematika</v>
      </c>
      <c r="H15" s="9">
        <f t="shared" ca="1" si="1"/>
        <v>2</v>
      </c>
      <c r="I15" s="10">
        <f>INDEX('Data Mahasiswa'!$A$1:$J$701, MATCH('Data Status Pendaftar'!B15, 'Data Mahasiswa'!$A$1:$A$701, 0), 10)</f>
        <v>3.0208333333333335</v>
      </c>
      <c r="J15" s="8" t="str" cm="1">
        <f t="array" ref="J15">INDEX('Data Mahasiswa'!B15:I15,MATCH(MIN(VLOOKUP('Data Mahasiswa'!B15:I15,'Data Mahasiswa'!$N$27:$O$36,2,0)),VLOOKUP('Data Mahasiswa'!B15:I15,'Data Mahasiswa'!$N$27:$O$36,2,0),0))</f>
        <v>D</v>
      </c>
      <c r="K15" s="8" t="str">
        <f t="shared" si="2"/>
        <v>Tidak Eligible</v>
      </c>
    </row>
    <row r="16" spans="1:11" x14ac:dyDescent="0.3">
      <c r="A16" s="5">
        <v>15</v>
      </c>
      <c r="B16" s="5" t="s">
        <v>66</v>
      </c>
      <c r="C16" s="5" t="s">
        <v>795</v>
      </c>
      <c r="D16" s="5" t="s">
        <v>779</v>
      </c>
      <c r="E16" s="6">
        <f t="shared" si="0"/>
        <v>2025</v>
      </c>
      <c r="F16" s="5" t="str">
        <f>INDEX('Data Mahasiswa'!$N$1:$Q$14, MATCH(MID('Data Status Pendaftar'!B16, 5,2), 'Data Mahasiswa'!$N$1:$N$14,0),2)</f>
        <v>Sains</v>
      </c>
      <c r="G16" s="5" t="str" cm="1">
        <f t="array" ref="G16">INDEX('Data Mahasiswa'!$Q$2:$Q$14, MATCH(MID('Data Status Pendaftar'!B16,5,3), 'Data Mahasiswa'!$N$2:$N$14&amp;TEXT('Data Mahasiswa'!$P$2:$P$14,"0"), 0))</f>
        <v>Matematika</v>
      </c>
      <c r="H16" s="6">
        <f t="shared" ca="1" si="1"/>
        <v>2</v>
      </c>
      <c r="I16" s="7">
        <f>INDEX('Data Mahasiswa'!$A$1:$J$701, MATCH('Data Status Pendaftar'!B16, 'Data Mahasiswa'!$A$1:$A$701, 0), 10)</f>
        <v>2.7708333333333335</v>
      </c>
      <c r="J16" s="5" t="str" cm="1">
        <f t="array" ref="J16">INDEX('Data Mahasiswa'!B16:I16,MATCH(MIN(VLOOKUP('Data Mahasiswa'!B16:I16,'Data Mahasiswa'!$N$27:$O$36,2,0)),VLOOKUP('Data Mahasiswa'!B16:I16,'Data Mahasiswa'!$N$27:$O$36,2,0),0))</f>
        <v>C</v>
      </c>
      <c r="K16" s="5" t="str">
        <f t="shared" si="2"/>
        <v>Eligible</v>
      </c>
    </row>
    <row r="17" spans="1:11" x14ac:dyDescent="0.3">
      <c r="A17" s="8">
        <v>16</v>
      </c>
      <c r="B17" s="8" t="s">
        <v>67</v>
      </c>
      <c r="C17" s="8" t="s">
        <v>796</v>
      </c>
      <c r="D17" s="8" t="s">
        <v>779</v>
      </c>
      <c r="E17" s="9">
        <f t="shared" si="0"/>
        <v>2025</v>
      </c>
      <c r="F17" s="8" t="str">
        <f>INDEX('Data Mahasiswa'!$N$1:$Q$14, MATCH(MID('Data Status Pendaftar'!B17, 5,2), 'Data Mahasiswa'!$N$1:$N$14,0),2)</f>
        <v>Sains</v>
      </c>
      <c r="G17" s="8" t="str" cm="1">
        <f t="array" ref="G17">INDEX('Data Mahasiswa'!$Q$2:$Q$14, MATCH(MID('Data Status Pendaftar'!B17,5,3), 'Data Mahasiswa'!$N$2:$N$14&amp;TEXT('Data Mahasiswa'!$P$2:$P$14,"0"), 0))</f>
        <v>Matematika</v>
      </c>
      <c r="H17" s="9">
        <f t="shared" ca="1" si="1"/>
        <v>2</v>
      </c>
      <c r="I17" s="10">
        <f>INDEX('Data Mahasiswa'!$A$1:$J$701, MATCH('Data Status Pendaftar'!B17, 'Data Mahasiswa'!$A$1:$A$701, 0), 10)</f>
        <v>3.6041666666666665</v>
      </c>
      <c r="J17" s="8" t="str" cm="1">
        <f t="array" ref="J17">INDEX('Data Mahasiswa'!B17:I17,MATCH(MIN(VLOOKUP('Data Mahasiswa'!B17:I17,'Data Mahasiswa'!$N$27:$O$36,2,0)),VLOOKUP('Data Mahasiswa'!B17:I17,'Data Mahasiswa'!$N$27:$O$36,2,0),0))</f>
        <v>B-</v>
      </c>
      <c r="K17" s="8" t="str">
        <f t="shared" si="2"/>
        <v>Eligible</v>
      </c>
    </row>
    <row r="18" spans="1:11" x14ac:dyDescent="0.3">
      <c r="A18" s="5">
        <v>17</v>
      </c>
      <c r="B18" s="5" t="s">
        <v>68</v>
      </c>
      <c r="C18" s="5" t="s">
        <v>797</v>
      </c>
      <c r="D18" s="5" t="s">
        <v>779</v>
      </c>
      <c r="E18" s="6">
        <f t="shared" si="0"/>
        <v>2025</v>
      </c>
      <c r="F18" s="5" t="str">
        <f>INDEX('Data Mahasiswa'!$N$1:$Q$14, MATCH(MID('Data Status Pendaftar'!B18, 5,2), 'Data Mahasiswa'!$N$1:$N$14,0),2)</f>
        <v>Sains</v>
      </c>
      <c r="G18" s="5" t="str" cm="1">
        <f t="array" ref="G18">INDEX('Data Mahasiswa'!$Q$2:$Q$14, MATCH(MID('Data Status Pendaftar'!B18,5,3), 'Data Mahasiswa'!$N$2:$N$14&amp;TEXT('Data Mahasiswa'!$P$2:$P$14,"0"), 0))</f>
        <v>Statistika</v>
      </c>
      <c r="H18" s="6">
        <f t="shared" ca="1" si="1"/>
        <v>2</v>
      </c>
      <c r="I18" s="7">
        <f>INDEX('Data Mahasiswa'!$A$1:$J$701, MATCH('Data Status Pendaftar'!B18, 'Data Mahasiswa'!$A$1:$A$701, 0), 10)</f>
        <v>3.5104166666666665</v>
      </c>
      <c r="J18" s="5" t="str" cm="1">
        <f t="array" ref="J18">INDEX('Data Mahasiswa'!B18:I18,MATCH(MIN(VLOOKUP('Data Mahasiswa'!B18:I18,'Data Mahasiswa'!$N$27:$O$36,2,0)),VLOOKUP('Data Mahasiswa'!B18:I18,'Data Mahasiswa'!$N$27:$O$36,2,0),0))</f>
        <v>C</v>
      </c>
      <c r="K18" s="5" t="str">
        <f t="shared" si="2"/>
        <v>Eligible</v>
      </c>
    </row>
    <row r="19" spans="1:11" x14ac:dyDescent="0.3">
      <c r="A19" s="8">
        <v>18</v>
      </c>
      <c r="B19" s="8" t="s">
        <v>69</v>
      </c>
      <c r="C19" s="8" t="s">
        <v>798</v>
      </c>
      <c r="D19" s="8" t="s">
        <v>779</v>
      </c>
      <c r="E19" s="9">
        <f t="shared" si="0"/>
        <v>2025</v>
      </c>
      <c r="F19" s="8" t="str">
        <f>INDEX('Data Mahasiswa'!$N$1:$Q$14, MATCH(MID('Data Status Pendaftar'!B19, 5,2), 'Data Mahasiswa'!$N$1:$N$14,0),2)</f>
        <v>Sains</v>
      </c>
      <c r="G19" s="8" t="str" cm="1">
        <f t="array" ref="G19">INDEX('Data Mahasiswa'!$Q$2:$Q$14, MATCH(MID('Data Status Pendaftar'!B19,5,3), 'Data Mahasiswa'!$N$2:$N$14&amp;TEXT('Data Mahasiswa'!$P$2:$P$14,"0"), 0))</f>
        <v>Statistika</v>
      </c>
      <c r="H19" s="9">
        <f t="shared" ca="1" si="1"/>
        <v>2</v>
      </c>
      <c r="I19" s="10">
        <f>INDEX('Data Mahasiswa'!$A$1:$J$701, MATCH('Data Status Pendaftar'!B19, 'Data Mahasiswa'!$A$1:$A$701, 0), 10)</f>
        <v>2.8541666666666665</v>
      </c>
      <c r="J19" s="8" t="str" cm="1">
        <f t="array" ref="J19">INDEX('Data Mahasiswa'!B19:I19,MATCH(MIN(VLOOKUP('Data Mahasiswa'!B19:I19,'Data Mahasiswa'!$N$27:$O$36,2,0)),VLOOKUP('Data Mahasiswa'!B19:I19,'Data Mahasiswa'!$N$27:$O$36,2,0),0))</f>
        <v>E</v>
      </c>
      <c r="K19" s="8" t="str">
        <f t="shared" si="2"/>
        <v>Tidak Eligible</v>
      </c>
    </row>
    <row r="20" spans="1:11" x14ac:dyDescent="0.3">
      <c r="A20" s="5">
        <v>19</v>
      </c>
      <c r="B20" s="5" t="s">
        <v>70</v>
      </c>
      <c r="C20" s="5" t="s">
        <v>799</v>
      </c>
      <c r="D20" s="5" t="s">
        <v>779</v>
      </c>
      <c r="E20" s="6">
        <f t="shared" si="0"/>
        <v>2025</v>
      </c>
      <c r="F20" s="5" t="str">
        <f>INDEX('Data Mahasiswa'!$N$1:$Q$14, MATCH(MID('Data Status Pendaftar'!B20, 5,2), 'Data Mahasiswa'!$N$1:$N$14,0),2)</f>
        <v>Sains</v>
      </c>
      <c r="G20" s="5" t="str" cm="1">
        <f t="array" ref="G20">INDEX('Data Mahasiswa'!$Q$2:$Q$14, MATCH(MID('Data Status Pendaftar'!B20,5,3), 'Data Mahasiswa'!$N$2:$N$14&amp;TEXT('Data Mahasiswa'!$P$2:$P$14,"0"), 0))</f>
        <v>Statistika</v>
      </c>
      <c r="H20" s="6">
        <f t="shared" ca="1" si="1"/>
        <v>2</v>
      </c>
      <c r="I20" s="7">
        <f>INDEX('Data Mahasiswa'!$A$1:$J$701, MATCH('Data Status Pendaftar'!B20, 'Data Mahasiswa'!$A$1:$A$701, 0), 10)</f>
        <v>3.375</v>
      </c>
      <c r="J20" s="5" t="str" cm="1">
        <f t="array" ref="J20">INDEX('Data Mahasiswa'!B20:I20,MATCH(MIN(VLOOKUP('Data Mahasiswa'!B20:I20,'Data Mahasiswa'!$N$27:$O$36,2,0)),VLOOKUP('Data Mahasiswa'!B20:I20,'Data Mahasiswa'!$N$27:$O$36,2,0),0))</f>
        <v>C+</v>
      </c>
      <c r="K20" s="5" t="str">
        <f t="shared" si="2"/>
        <v>Eligible</v>
      </c>
    </row>
    <row r="21" spans="1:11" x14ac:dyDescent="0.3">
      <c r="A21" s="8">
        <v>20</v>
      </c>
      <c r="B21" s="8" t="s">
        <v>71</v>
      </c>
      <c r="C21" s="8" t="s">
        <v>800</v>
      </c>
      <c r="D21" s="8" t="s">
        <v>780</v>
      </c>
      <c r="E21" s="9">
        <f t="shared" si="0"/>
        <v>2025</v>
      </c>
      <c r="F21" s="8" t="str">
        <f>INDEX('Data Mahasiswa'!$N$1:$Q$14, MATCH(MID('Data Status Pendaftar'!B21, 5,2), 'Data Mahasiswa'!$N$1:$N$14,0),2)</f>
        <v>Sains</v>
      </c>
      <c r="G21" s="8" t="str" cm="1">
        <f t="array" ref="G21">INDEX('Data Mahasiswa'!$Q$2:$Q$14, MATCH(MID('Data Status Pendaftar'!B21,5,3), 'Data Mahasiswa'!$N$2:$N$14&amp;TEXT('Data Mahasiswa'!$P$2:$P$14,"0"), 0))</f>
        <v>Statistika</v>
      </c>
      <c r="H21" s="9">
        <f t="shared" ca="1" si="1"/>
        <v>2</v>
      </c>
      <c r="I21" s="10">
        <f>INDEX('Data Mahasiswa'!$A$1:$J$701, MATCH('Data Status Pendaftar'!B21, 'Data Mahasiswa'!$A$1:$A$701, 0), 10)</f>
        <v>2.5416666666666665</v>
      </c>
      <c r="J21" s="8" t="str" cm="1">
        <f t="array" ref="J21">INDEX('Data Mahasiswa'!B21:I21,MATCH(MIN(VLOOKUP('Data Mahasiswa'!B21:I21,'Data Mahasiswa'!$N$27:$O$36,2,0)),VLOOKUP('Data Mahasiswa'!B21:I21,'Data Mahasiswa'!$N$27:$O$36,2,0),0))</f>
        <v>E</v>
      </c>
      <c r="K21" s="8" t="str">
        <f t="shared" si="2"/>
        <v>Tidak Eligible</v>
      </c>
    </row>
    <row r="22" spans="1:11" x14ac:dyDescent="0.3">
      <c r="A22" s="5">
        <v>21</v>
      </c>
      <c r="B22" s="5" t="s">
        <v>72</v>
      </c>
      <c r="C22" s="5" t="s">
        <v>801</v>
      </c>
      <c r="D22" s="5" t="s">
        <v>779</v>
      </c>
      <c r="E22" s="6">
        <f t="shared" si="0"/>
        <v>2025</v>
      </c>
      <c r="F22" s="5" t="str">
        <f>INDEX('Data Mahasiswa'!$N$1:$Q$14, MATCH(MID('Data Status Pendaftar'!B22, 5,2), 'Data Mahasiswa'!$N$1:$N$14,0),2)</f>
        <v>Sains</v>
      </c>
      <c r="G22" s="5" t="str" cm="1">
        <f t="array" ref="G22">INDEX('Data Mahasiswa'!$Q$2:$Q$14, MATCH(MID('Data Status Pendaftar'!B22,5,3), 'Data Mahasiswa'!$N$2:$N$14&amp;TEXT('Data Mahasiswa'!$P$2:$P$14,"0"), 0))</f>
        <v>Statistika</v>
      </c>
      <c r="H22" s="6">
        <f t="shared" ca="1" si="1"/>
        <v>2</v>
      </c>
      <c r="I22" s="7">
        <f>INDEX('Data Mahasiswa'!$A$1:$J$701, MATCH('Data Status Pendaftar'!B22, 'Data Mahasiswa'!$A$1:$A$701, 0), 10)</f>
        <v>2.8541666666666665</v>
      </c>
      <c r="J22" s="5" t="str" cm="1">
        <f t="array" ref="J22">INDEX('Data Mahasiswa'!B22:I22,MATCH(MIN(VLOOKUP('Data Mahasiswa'!B22:I22,'Data Mahasiswa'!$N$27:$O$36,2,0)),VLOOKUP('Data Mahasiswa'!B22:I22,'Data Mahasiswa'!$N$27:$O$36,2,0),0))</f>
        <v>C</v>
      </c>
      <c r="K22" s="5" t="str">
        <f t="shared" si="2"/>
        <v>Eligible</v>
      </c>
    </row>
    <row r="23" spans="1:11" x14ac:dyDescent="0.3">
      <c r="A23" s="8">
        <v>22</v>
      </c>
      <c r="B23" s="8" t="s">
        <v>73</v>
      </c>
      <c r="C23" s="8" t="s">
        <v>802</v>
      </c>
      <c r="D23" s="8" t="s">
        <v>779</v>
      </c>
      <c r="E23" s="9">
        <f t="shared" si="0"/>
        <v>2025</v>
      </c>
      <c r="F23" s="8" t="str">
        <f>INDEX('Data Mahasiswa'!$N$1:$Q$14, MATCH(MID('Data Status Pendaftar'!B23, 5,2), 'Data Mahasiswa'!$N$1:$N$14,0),2)</f>
        <v>Sains</v>
      </c>
      <c r="G23" s="8" t="str" cm="1">
        <f t="array" ref="G23">INDEX('Data Mahasiswa'!$Q$2:$Q$14, MATCH(MID('Data Status Pendaftar'!B23,5,3), 'Data Mahasiswa'!$N$2:$N$14&amp;TEXT('Data Mahasiswa'!$P$2:$P$14,"0"), 0))</f>
        <v>Statistika</v>
      </c>
      <c r="H23" s="9">
        <f t="shared" ca="1" si="1"/>
        <v>2</v>
      </c>
      <c r="I23" s="10">
        <f>INDEX('Data Mahasiswa'!$A$1:$J$701, MATCH('Data Status Pendaftar'!B23, 'Data Mahasiswa'!$A$1:$A$701, 0), 10)</f>
        <v>2.5625</v>
      </c>
      <c r="J23" s="8" t="str" cm="1">
        <f t="array" ref="J23">INDEX('Data Mahasiswa'!B23:I23,MATCH(MIN(VLOOKUP('Data Mahasiswa'!B23:I23,'Data Mahasiswa'!$N$27:$O$36,2,0)),VLOOKUP('Data Mahasiswa'!B23:I23,'Data Mahasiswa'!$N$27:$O$36,2,0),0))</f>
        <v>E</v>
      </c>
      <c r="K23" s="8" t="str">
        <f t="shared" si="2"/>
        <v>Tidak Eligible</v>
      </c>
    </row>
    <row r="24" spans="1:11" x14ac:dyDescent="0.3">
      <c r="A24" s="5">
        <v>23</v>
      </c>
      <c r="B24" s="5" t="s">
        <v>74</v>
      </c>
      <c r="C24" s="5" t="s">
        <v>803</v>
      </c>
      <c r="D24" s="5" t="s">
        <v>779</v>
      </c>
      <c r="E24" s="6">
        <f t="shared" si="0"/>
        <v>2025</v>
      </c>
      <c r="F24" s="5" t="str">
        <f>INDEX('Data Mahasiswa'!$N$1:$Q$14, MATCH(MID('Data Status Pendaftar'!B24, 5,2), 'Data Mahasiswa'!$N$1:$N$14,0),2)</f>
        <v>Sains</v>
      </c>
      <c r="G24" s="5" t="str" cm="1">
        <f t="array" ref="G24">INDEX('Data Mahasiswa'!$Q$2:$Q$14, MATCH(MID('Data Status Pendaftar'!B24,5,3), 'Data Mahasiswa'!$N$2:$N$14&amp;TEXT('Data Mahasiswa'!$P$2:$P$14,"0"), 0))</f>
        <v>Statistika</v>
      </c>
      <c r="H24" s="6">
        <f t="shared" ca="1" si="1"/>
        <v>2</v>
      </c>
      <c r="I24" s="7">
        <f>INDEX('Data Mahasiswa'!$A$1:$J$701, MATCH('Data Status Pendaftar'!B24, 'Data Mahasiswa'!$A$1:$A$701, 0), 10)</f>
        <v>3.4895833333333335</v>
      </c>
      <c r="J24" s="5" t="str" cm="1">
        <f t="array" ref="J24">INDEX('Data Mahasiswa'!B24:I24,MATCH(MIN(VLOOKUP('Data Mahasiswa'!B24:I24,'Data Mahasiswa'!$N$27:$O$36,2,0)),VLOOKUP('Data Mahasiswa'!B24:I24,'Data Mahasiswa'!$N$27:$O$36,2,0),0))</f>
        <v>B-</v>
      </c>
      <c r="K24" s="5" t="str">
        <f t="shared" si="2"/>
        <v>Eligible</v>
      </c>
    </row>
    <row r="25" spans="1:11" x14ac:dyDescent="0.3">
      <c r="A25" s="8">
        <v>24</v>
      </c>
      <c r="B25" s="8" t="s">
        <v>75</v>
      </c>
      <c r="C25" s="8" t="s">
        <v>804</v>
      </c>
      <c r="D25" s="8" t="s">
        <v>779</v>
      </c>
      <c r="E25" s="9">
        <f t="shared" si="0"/>
        <v>2025</v>
      </c>
      <c r="F25" s="8" t="str">
        <f>INDEX('Data Mahasiswa'!$N$1:$Q$14, MATCH(MID('Data Status Pendaftar'!B25, 5,2), 'Data Mahasiswa'!$N$1:$N$14,0),2)</f>
        <v>Sains</v>
      </c>
      <c r="G25" s="8" t="str" cm="1">
        <f t="array" ref="G25">INDEX('Data Mahasiswa'!$Q$2:$Q$14, MATCH(MID('Data Status Pendaftar'!B25,5,3), 'Data Mahasiswa'!$N$2:$N$14&amp;TEXT('Data Mahasiswa'!$P$2:$P$14,"0"), 0))</f>
        <v>Statistika</v>
      </c>
      <c r="H25" s="9">
        <f t="shared" ca="1" si="1"/>
        <v>2</v>
      </c>
      <c r="I25" s="10">
        <f>INDEX('Data Mahasiswa'!$A$1:$J$701, MATCH('Data Status Pendaftar'!B25, 'Data Mahasiswa'!$A$1:$A$701, 0), 10)</f>
        <v>2.3020833333333335</v>
      </c>
      <c r="J25" s="8" t="str" cm="1">
        <f t="array" ref="J25">INDEX('Data Mahasiswa'!B25:I25,MATCH(MIN(VLOOKUP('Data Mahasiswa'!B25:I25,'Data Mahasiswa'!$N$27:$O$36,2,0)),VLOOKUP('Data Mahasiswa'!B25:I25,'Data Mahasiswa'!$N$27:$O$36,2,0),0))</f>
        <v>E</v>
      </c>
      <c r="K25" s="8" t="str">
        <f t="shared" si="2"/>
        <v>Tidak Eligible</v>
      </c>
    </row>
    <row r="26" spans="1:11" x14ac:dyDescent="0.3">
      <c r="A26" s="5">
        <v>25</v>
      </c>
      <c r="B26" s="5" t="s">
        <v>76</v>
      </c>
      <c r="C26" s="5" t="s">
        <v>805</v>
      </c>
      <c r="D26" s="5" t="s">
        <v>779</v>
      </c>
      <c r="E26" s="6">
        <f t="shared" si="0"/>
        <v>2025</v>
      </c>
      <c r="F26" s="5" t="str">
        <f>INDEX('Data Mahasiswa'!$N$1:$Q$14, MATCH(MID('Data Status Pendaftar'!B26, 5,2), 'Data Mahasiswa'!$N$1:$N$14,0),2)</f>
        <v>Sains</v>
      </c>
      <c r="G26" s="5" t="str" cm="1">
        <f t="array" ref="G26">INDEX('Data Mahasiswa'!$Q$2:$Q$14, MATCH(MID('Data Status Pendaftar'!B26,5,3), 'Data Mahasiswa'!$N$2:$N$14&amp;TEXT('Data Mahasiswa'!$P$2:$P$14,"0"), 0))</f>
        <v>Statistika</v>
      </c>
      <c r="H26" s="6">
        <f t="shared" ca="1" si="1"/>
        <v>2</v>
      </c>
      <c r="I26" s="7">
        <f>INDEX('Data Mahasiswa'!$A$1:$J$701, MATCH('Data Status Pendaftar'!B26, 'Data Mahasiswa'!$A$1:$A$701, 0), 10)</f>
        <v>2.96875</v>
      </c>
      <c r="J26" s="5" t="str" cm="1">
        <f t="array" ref="J26">INDEX('Data Mahasiswa'!B26:I26,MATCH(MIN(VLOOKUP('Data Mahasiswa'!B26:I26,'Data Mahasiswa'!$N$27:$O$36,2,0)),VLOOKUP('Data Mahasiswa'!B26:I26,'Data Mahasiswa'!$N$27:$O$36,2,0),0))</f>
        <v>C</v>
      </c>
      <c r="K26" s="5" t="str">
        <f t="shared" si="2"/>
        <v>Eligible</v>
      </c>
    </row>
    <row r="27" spans="1:11" x14ac:dyDescent="0.3">
      <c r="A27" s="8">
        <v>26</v>
      </c>
      <c r="B27" s="8" t="s">
        <v>77</v>
      </c>
      <c r="C27" s="8" t="s">
        <v>806</v>
      </c>
      <c r="D27" s="8" t="s">
        <v>779</v>
      </c>
      <c r="E27" s="9">
        <f t="shared" si="0"/>
        <v>2025</v>
      </c>
      <c r="F27" s="8" t="str">
        <f>INDEX('Data Mahasiswa'!$N$1:$Q$14, MATCH(MID('Data Status Pendaftar'!B27, 5,2), 'Data Mahasiswa'!$N$1:$N$14,0),2)</f>
        <v>Sains</v>
      </c>
      <c r="G27" s="8" t="str" cm="1">
        <f t="array" ref="G27">INDEX('Data Mahasiswa'!$Q$2:$Q$14, MATCH(MID('Data Status Pendaftar'!B27,5,3), 'Data Mahasiswa'!$N$2:$N$14&amp;TEXT('Data Mahasiswa'!$P$2:$P$14,"0"), 0))</f>
        <v>Statistika</v>
      </c>
      <c r="H27" s="9">
        <f t="shared" ca="1" si="1"/>
        <v>2</v>
      </c>
      <c r="I27" s="10">
        <f>INDEX('Data Mahasiswa'!$A$1:$J$701, MATCH('Data Status Pendaftar'!B27, 'Data Mahasiswa'!$A$1:$A$701, 0), 10)</f>
        <v>2.9479166666666665</v>
      </c>
      <c r="J27" s="8" t="str" cm="1">
        <f t="array" ref="J27">INDEX('Data Mahasiswa'!B27:I27,MATCH(MIN(VLOOKUP('Data Mahasiswa'!B27:I27,'Data Mahasiswa'!$N$27:$O$36,2,0)),VLOOKUP('Data Mahasiswa'!B27:I27,'Data Mahasiswa'!$N$27:$O$36,2,0),0))</f>
        <v>C</v>
      </c>
      <c r="K27" s="8" t="str">
        <f t="shared" si="2"/>
        <v>Eligible</v>
      </c>
    </row>
    <row r="28" spans="1:11" x14ac:dyDescent="0.3">
      <c r="A28" s="5">
        <v>27</v>
      </c>
      <c r="B28" s="5" t="s">
        <v>78</v>
      </c>
      <c r="C28" s="5" t="s">
        <v>807</v>
      </c>
      <c r="D28" s="5" t="s">
        <v>780</v>
      </c>
      <c r="E28" s="6">
        <f t="shared" si="0"/>
        <v>2025</v>
      </c>
      <c r="F28" s="5" t="str">
        <f>INDEX('Data Mahasiswa'!$N$1:$Q$14, MATCH(MID('Data Status Pendaftar'!B28, 5,2), 'Data Mahasiswa'!$N$1:$N$14,0),2)</f>
        <v>Sains</v>
      </c>
      <c r="G28" s="5" t="str" cm="1">
        <f t="array" ref="G28">INDEX('Data Mahasiswa'!$Q$2:$Q$14, MATCH(MID('Data Status Pendaftar'!B28,5,3), 'Data Mahasiswa'!$N$2:$N$14&amp;TEXT('Data Mahasiswa'!$P$2:$P$14,"0"), 0))</f>
        <v>Statistika</v>
      </c>
      <c r="H28" s="6">
        <f t="shared" ca="1" si="1"/>
        <v>2</v>
      </c>
      <c r="I28" s="7">
        <f>INDEX('Data Mahasiswa'!$A$1:$J$701, MATCH('Data Status Pendaftar'!B28, 'Data Mahasiswa'!$A$1:$A$701, 0), 10)</f>
        <v>2.78125</v>
      </c>
      <c r="J28" s="5" t="str" cm="1">
        <f t="array" ref="J28">INDEX('Data Mahasiswa'!B28:I28,MATCH(MIN(VLOOKUP('Data Mahasiswa'!B28:I28,'Data Mahasiswa'!$N$27:$O$36,2,0)),VLOOKUP('Data Mahasiswa'!B28:I28,'Data Mahasiswa'!$N$27:$O$36,2,0),0))</f>
        <v>E</v>
      </c>
      <c r="K28" s="5" t="str">
        <f t="shared" si="2"/>
        <v>Tidak Eligible</v>
      </c>
    </row>
    <row r="29" spans="1:11" x14ac:dyDescent="0.3">
      <c r="A29" s="8">
        <v>28</v>
      </c>
      <c r="B29" s="8" t="s">
        <v>79</v>
      </c>
      <c r="C29" s="8" t="s">
        <v>808</v>
      </c>
      <c r="D29" s="8" t="s">
        <v>780</v>
      </c>
      <c r="E29" s="9">
        <f t="shared" si="0"/>
        <v>2025</v>
      </c>
      <c r="F29" s="8" t="str">
        <f>INDEX('Data Mahasiswa'!$N$1:$Q$14, MATCH(MID('Data Status Pendaftar'!B29, 5,2), 'Data Mahasiswa'!$N$1:$N$14,0),2)</f>
        <v>Sains</v>
      </c>
      <c r="G29" s="8" t="str" cm="1">
        <f t="array" ref="G29">INDEX('Data Mahasiswa'!$Q$2:$Q$14, MATCH(MID('Data Status Pendaftar'!B29,5,3), 'Data Mahasiswa'!$N$2:$N$14&amp;TEXT('Data Mahasiswa'!$P$2:$P$14,"0"), 0))</f>
        <v>Statistika</v>
      </c>
      <c r="H29" s="9">
        <f t="shared" ca="1" si="1"/>
        <v>2</v>
      </c>
      <c r="I29" s="10">
        <f>INDEX('Data Mahasiswa'!$A$1:$J$701, MATCH('Data Status Pendaftar'!B29, 'Data Mahasiswa'!$A$1:$A$701, 0), 10)</f>
        <v>2.7708333333333335</v>
      </c>
      <c r="J29" s="8" t="str" cm="1">
        <f t="array" ref="J29">INDEX('Data Mahasiswa'!B29:I29,MATCH(MIN(VLOOKUP('Data Mahasiswa'!B29:I29,'Data Mahasiswa'!$N$27:$O$36,2,0)),VLOOKUP('Data Mahasiswa'!B29:I29,'Data Mahasiswa'!$N$27:$O$36,2,0),0))</f>
        <v>E</v>
      </c>
      <c r="K29" s="8" t="str">
        <f t="shared" si="2"/>
        <v>Tidak Eligible</v>
      </c>
    </row>
    <row r="30" spans="1:11" x14ac:dyDescent="0.3">
      <c r="A30" s="5">
        <v>29</v>
      </c>
      <c r="B30" s="5" t="s">
        <v>80</v>
      </c>
      <c r="C30" s="5" t="s">
        <v>809</v>
      </c>
      <c r="D30" s="5" t="s">
        <v>779</v>
      </c>
      <c r="E30" s="6">
        <f t="shared" si="0"/>
        <v>2025</v>
      </c>
      <c r="F30" s="5" t="str">
        <f>INDEX('Data Mahasiswa'!$N$1:$Q$14, MATCH(MID('Data Status Pendaftar'!B30, 5,2), 'Data Mahasiswa'!$N$1:$N$14,0),2)</f>
        <v>Sains</v>
      </c>
      <c r="G30" s="5" t="str" cm="1">
        <f t="array" ref="G30">INDEX('Data Mahasiswa'!$Q$2:$Q$14, MATCH(MID('Data Status Pendaftar'!B30,5,3), 'Data Mahasiswa'!$N$2:$N$14&amp;TEXT('Data Mahasiswa'!$P$2:$P$14,"0"), 0))</f>
        <v>Statistika</v>
      </c>
      <c r="H30" s="6">
        <f t="shared" ca="1" si="1"/>
        <v>2</v>
      </c>
      <c r="I30" s="7">
        <f>INDEX('Data Mahasiswa'!$A$1:$J$701, MATCH('Data Status Pendaftar'!B30, 'Data Mahasiswa'!$A$1:$A$701, 0), 10)</f>
        <v>2.6875</v>
      </c>
      <c r="J30" s="5" t="str" cm="1">
        <f t="array" ref="J30">INDEX('Data Mahasiswa'!B30:I30,MATCH(MIN(VLOOKUP('Data Mahasiswa'!B30:I30,'Data Mahasiswa'!$N$27:$O$36,2,0)),VLOOKUP('Data Mahasiswa'!B30:I30,'Data Mahasiswa'!$N$27:$O$36,2,0),0))</f>
        <v>E</v>
      </c>
      <c r="K30" s="5" t="str">
        <f t="shared" si="2"/>
        <v>Tidak Eligible</v>
      </c>
    </row>
    <row r="31" spans="1:11" x14ac:dyDescent="0.3">
      <c r="A31" s="8">
        <v>30</v>
      </c>
      <c r="B31" s="8" t="s">
        <v>81</v>
      </c>
      <c r="C31" s="8" t="s">
        <v>810</v>
      </c>
      <c r="D31" s="8" t="s">
        <v>780</v>
      </c>
      <c r="E31" s="9">
        <f t="shared" si="0"/>
        <v>2025</v>
      </c>
      <c r="F31" s="8" t="str">
        <f>INDEX('Data Mahasiswa'!$N$1:$Q$14, MATCH(MID('Data Status Pendaftar'!B31, 5,2), 'Data Mahasiswa'!$N$1:$N$14,0),2)</f>
        <v>Sains</v>
      </c>
      <c r="G31" s="8" t="str" cm="1">
        <f t="array" ref="G31">INDEX('Data Mahasiswa'!$Q$2:$Q$14, MATCH(MID('Data Status Pendaftar'!B31,5,3), 'Data Mahasiswa'!$N$2:$N$14&amp;TEXT('Data Mahasiswa'!$P$2:$P$14,"0"), 0))</f>
        <v>Statistika</v>
      </c>
      <c r="H31" s="9">
        <f t="shared" ca="1" si="1"/>
        <v>2</v>
      </c>
      <c r="I31" s="10">
        <f>INDEX('Data Mahasiswa'!$A$1:$J$701, MATCH('Data Status Pendaftar'!B31, 'Data Mahasiswa'!$A$1:$A$701, 0), 10)</f>
        <v>3.1875</v>
      </c>
      <c r="J31" s="8" t="str" cm="1">
        <f t="array" ref="J31">INDEX('Data Mahasiswa'!B31:I31,MATCH(MIN(VLOOKUP('Data Mahasiswa'!B31:I31,'Data Mahasiswa'!$N$27:$O$36,2,0)),VLOOKUP('Data Mahasiswa'!B31:I31,'Data Mahasiswa'!$N$27:$O$36,2,0),0))</f>
        <v>C</v>
      </c>
      <c r="K31" s="8" t="str">
        <f t="shared" si="2"/>
        <v>Eligible</v>
      </c>
    </row>
    <row r="32" spans="1:11" x14ac:dyDescent="0.3">
      <c r="A32" s="5">
        <v>31</v>
      </c>
      <c r="B32" s="5" t="s">
        <v>82</v>
      </c>
      <c r="C32" s="5" t="s">
        <v>811</v>
      </c>
      <c r="D32" s="5" t="s">
        <v>779</v>
      </c>
      <c r="E32" s="6">
        <f t="shared" si="0"/>
        <v>2025</v>
      </c>
      <c r="F32" s="5" t="str">
        <f>INDEX('Data Mahasiswa'!$N$1:$Q$14, MATCH(MID('Data Status Pendaftar'!B32, 5,2), 'Data Mahasiswa'!$N$1:$N$14,0),2)</f>
        <v>Sains</v>
      </c>
      <c r="G32" s="5" t="str" cm="1">
        <f t="array" ref="G32">INDEX('Data Mahasiswa'!$Q$2:$Q$14, MATCH(MID('Data Status Pendaftar'!B32,5,3), 'Data Mahasiswa'!$N$2:$N$14&amp;TEXT('Data Mahasiswa'!$P$2:$P$14,"0"), 0))</f>
        <v>Statistika</v>
      </c>
      <c r="H32" s="6">
        <f t="shared" ca="1" si="1"/>
        <v>2</v>
      </c>
      <c r="I32" s="7">
        <f>INDEX('Data Mahasiswa'!$A$1:$J$701, MATCH('Data Status Pendaftar'!B32, 'Data Mahasiswa'!$A$1:$A$701, 0), 10)</f>
        <v>3.0416666666666665</v>
      </c>
      <c r="J32" s="5" t="str" cm="1">
        <f t="array" ref="J32">INDEX('Data Mahasiswa'!B32:I32,MATCH(MIN(VLOOKUP('Data Mahasiswa'!B32:I32,'Data Mahasiswa'!$N$27:$O$36,2,0)),VLOOKUP('Data Mahasiswa'!B32:I32,'Data Mahasiswa'!$N$27:$O$36,2,0),0))</f>
        <v>C</v>
      </c>
      <c r="K32" s="5" t="str">
        <f t="shared" si="2"/>
        <v>Eligible</v>
      </c>
    </row>
    <row r="33" spans="1:11" x14ac:dyDescent="0.3">
      <c r="A33" s="8">
        <v>32</v>
      </c>
      <c r="B33" s="8" t="s">
        <v>83</v>
      </c>
      <c r="C33" s="8" t="s">
        <v>812</v>
      </c>
      <c r="D33" s="8" t="s">
        <v>779</v>
      </c>
      <c r="E33" s="9">
        <f t="shared" si="0"/>
        <v>2025</v>
      </c>
      <c r="F33" s="8" t="str">
        <f>INDEX('Data Mahasiswa'!$N$1:$Q$14, MATCH(MID('Data Status Pendaftar'!B33, 5,2), 'Data Mahasiswa'!$N$1:$N$14,0),2)</f>
        <v>Sains</v>
      </c>
      <c r="G33" s="8" t="str" cm="1">
        <f t="array" ref="G33">INDEX('Data Mahasiswa'!$Q$2:$Q$14, MATCH(MID('Data Status Pendaftar'!B33,5,3), 'Data Mahasiswa'!$N$2:$N$14&amp;TEXT('Data Mahasiswa'!$P$2:$P$14,"0"), 0))</f>
        <v>Statistika</v>
      </c>
      <c r="H33" s="9">
        <f t="shared" ca="1" si="1"/>
        <v>2</v>
      </c>
      <c r="I33" s="10">
        <f>INDEX('Data Mahasiswa'!$A$1:$J$701, MATCH('Data Status Pendaftar'!B33, 'Data Mahasiswa'!$A$1:$A$701, 0), 10)</f>
        <v>3.1875</v>
      </c>
      <c r="J33" s="8" t="str" cm="1">
        <f t="array" ref="J33">INDEX('Data Mahasiswa'!B33:I33,MATCH(MIN(VLOOKUP('Data Mahasiswa'!B33:I33,'Data Mahasiswa'!$N$27:$O$36,2,0)),VLOOKUP('Data Mahasiswa'!B33:I33,'Data Mahasiswa'!$N$27:$O$36,2,0),0))</f>
        <v>C</v>
      </c>
      <c r="K33" s="8" t="str">
        <f t="shared" si="2"/>
        <v>Eligible</v>
      </c>
    </row>
    <row r="34" spans="1:11" x14ac:dyDescent="0.3">
      <c r="A34" s="5">
        <v>33</v>
      </c>
      <c r="B34" s="5" t="s">
        <v>84</v>
      </c>
      <c r="C34" s="5" t="s">
        <v>813</v>
      </c>
      <c r="D34" s="5" t="s">
        <v>780</v>
      </c>
      <c r="E34" s="6">
        <f t="shared" si="0"/>
        <v>2025</v>
      </c>
      <c r="F34" s="5" t="str">
        <f>INDEX('Data Mahasiswa'!$N$1:$Q$14, MATCH(MID('Data Status Pendaftar'!B34, 5,2), 'Data Mahasiswa'!$N$1:$N$14,0),2)</f>
        <v>Sains</v>
      </c>
      <c r="G34" s="5" t="str" cm="1">
        <f t="array" ref="G34">INDEX('Data Mahasiswa'!$Q$2:$Q$14, MATCH(MID('Data Status Pendaftar'!B34,5,3), 'Data Mahasiswa'!$N$2:$N$14&amp;TEXT('Data Mahasiswa'!$P$2:$P$14,"0"), 0))</f>
        <v>Statistika</v>
      </c>
      <c r="H34" s="6">
        <f t="shared" ca="1" si="1"/>
        <v>2</v>
      </c>
      <c r="I34" s="7">
        <f>INDEX('Data Mahasiswa'!$A$1:$J$701, MATCH('Data Status Pendaftar'!B34, 'Data Mahasiswa'!$A$1:$A$701, 0), 10)</f>
        <v>3.1875</v>
      </c>
      <c r="J34" s="5" t="str" cm="1">
        <f t="array" ref="J34">INDEX('Data Mahasiswa'!B34:I34,MATCH(MIN(VLOOKUP('Data Mahasiswa'!B34:I34,'Data Mahasiswa'!$N$27:$O$36,2,0)),VLOOKUP('Data Mahasiswa'!B34:I34,'Data Mahasiswa'!$N$27:$O$36,2,0),0))</f>
        <v>C+</v>
      </c>
      <c r="K34" s="5" t="str">
        <f t="shared" si="2"/>
        <v>Eligible</v>
      </c>
    </row>
    <row r="35" spans="1:11" x14ac:dyDescent="0.3">
      <c r="A35" s="8">
        <v>34</v>
      </c>
      <c r="B35" s="8" t="s">
        <v>85</v>
      </c>
      <c r="C35" s="8" t="s">
        <v>814</v>
      </c>
      <c r="D35" s="8" t="s">
        <v>780</v>
      </c>
      <c r="E35" s="9">
        <f t="shared" si="0"/>
        <v>2025</v>
      </c>
      <c r="F35" s="8" t="str">
        <f>INDEX('Data Mahasiswa'!$N$1:$Q$14, MATCH(MID('Data Status Pendaftar'!B35, 5,2), 'Data Mahasiswa'!$N$1:$N$14,0),2)</f>
        <v>Sains</v>
      </c>
      <c r="G35" s="8" t="str" cm="1">
        <f t="array" ref="G35">INDEX('Data Mahasiswa'!$Q$2:$Q$14, MATCH(MID('Data Status Pendaftar'!B35,5,3), 'Data Mahasiswa'!$N$2:$N$14&amp;TEXT('Data Mahasiswa'!$P$2:$P$14,"0"), 0))</f>
        <v>Statistika</v>
      </c>
      <c r="H35" s="9">
        <f t="shared" ca="1" si="1"/>
        <v>2</v>
      </c>
      <c r="I35" s="10">
        <f>INDEX('Data Mahasiswa'!$A$1:$J$701, MATCH('Data Status Pendaftar'!B35, 'Data Mahasiswa'!$A$1:$A$701, 0), 10)</f>
        <v>3.0625</v>
      </c>
      <c r="J35" s="8" t="str" cm="1">
        <f t="array" ref="J35">INDEX('Data Mahasiswa'!B35:I35,MATCH(MIN(VLOOKUP('Data Mahasiswa'!B35:I35,'Data Mahasiswa'!$N$27:$O$36,2,0)),VLOOKUP('Data Mahasiswa'!B35:I35,'Data Mahasiswa'!$N$27:$O$36,2,0),0))</f>
        <v>C+</v>
      </c>
      <c r="K35" s="8" t="str">
        <f t="shared" si="2"/>
        <v>Eligible</v>
      </c>
    </row>
    <row r="36" spans="1:11" x14ac:dyDescent="0.3">
      <c r="A36" s="5">
        <v>35</v>
      </c>
      <c r="B36" s="5" t="s">
        <v>86</v>
      </c>
      <c r="C36" s="5" t="s">
        <v>815</v>
      </c>
      <c r="D36" s="5" t="s">
        <v>780</v>
      </c>
      <c r="E36" s="6">
        <f t="shared" si="0"/>
        <v>2025</v>
      </c>
      <c r="F36" s="5" t="str">
        <f>INDEX('Data Mahasiswa'!$N$1:$Q$14, MATCH(MID('Data Status Pendaftar'!B36, 5,2), 'Data Mahasiswa'!$N$1:$N$14,0),2)</f>
        <v>Sains</v>
      </c>
      <c r="G36" s="5" t="str" cm="1">
        <f t="array" ref="G36">INDEX('Data Mahasiswa'!$Q$2:$Q$14, MATCH(MID('Data Status Pendaftar'!B36,5,3), 'Data Mahasiswa'!$N$2:$N$14&amp;TEXT('Data Mahasiswa'!$P$2:$P$14,"0"), 0))</f>
        <v>Statistika</v>
      </c>
      <c r="H36" s="6">
        <f t="shared" ca="1" si="1"/>
        <v>2</v>
      </c>
      <c r="I36" s="7">
        <f>INDEX('Data Mahasiswa'!$A$1:$J$701, MATCH('Data Status Pendaftar'!B36, 'Data Mahasiswa'!$A$1:$A$701, 0), 10)</f>
        <v>2.8541666666666665</v>
      </c>
      <c r="J36" s="5" t="str" cm="1">
        <f t="array" ref="J36">INDEX('Data Mahasiswa'!B36:I36,MATCH(MIN(VLOOKUP('Data Mahasiswa'!B36:I36,'Data Mahasiswa'!$N$27:$O$36,2,0)),VLOOKUP('Data Mahasiswa'!B36:I36,'Data Mahasiswa'!$N$27:$O$36,2,0),0))</f>
        <v>C</v>
      </c>
      <c r="K36" s="5" t="str">
        <f t="shared" si="2"/>
        <v>Eligible</v>
      </c>
    </row>
    <row r="37" spans="1:11" x14ac:dyDescent="0.3">
      <c r="A37" s="8">
        <v>36</v>
      </c>
      <c r="B37" s="8" t="s">
        <v>87</v>
      </c>
      <c r="C37" s="8" t="s">
        <v>816</v>
      </c>
      <c r="D37" s="8" t="s">
        <v>780</v>
      </c>
      <c r="E37" s="9">
        <f t="shared" si="0"/>
        <v>2025</v>
      </c>
      <c r="F37" s="8" t="str">
        <f>INDEX('Data Mahasiswa'!$N$1:$Q$14, MATCH(MID('Data Status Pendaftar'!B37, 5,2), 'Data Mahasiswa'!$N$1:$N$14,0),2)</f>
        <v>Sains</v>
      </c>
      <c r="G37" s="8" t="str" cm="1">
        <f t="array" ref="G37">INDEX('Data Mahasiswa'!$Q$2:$Q$14, MATCH(MID('Data Status Pendaftar'!B37,5,3), 'Data Mahasiswa'!$N$2:$N$14&amp;TEXT('Data Mahasiswa'!$P$2:$P$14,"0"), 0))</f>
        <v>Statistika</v>
      </c>
      <c r="H37" s="9">
        <f t="shared" ca="1" si="1"/>
        <v>2</v>
      </c>
      <c r="I37" s="10">
        <f>INDEX('Data Mahasiswa'!$A$1:$J$701, MATCH('Data Status Pendaftar'!B37, 'Data Mahasiswa'!$A$1:$A$701, 0), 10)</f>
        <v>2.5208333333333335</v>
      </c>
      <c r="J37" s="8" t="str" cm="1">
        <f t="array" ref="J37">INDEX('Data Mahasiswa'!B37:I37,MATCH(MIN(VLOOKUP('Data Mahasiswa'!B37:I37,'Data Mahasiswa'!$N$27:$O$36,2,0)),VLOOKUP('Data Mahasiswa'!B37:I37,'Data Mahasiswa'!$N$27:$O$36,2,0),0))</f>
        <v>D</v>
      </c>
      <c r="K37" s="8" t="str">
        <f t="shared" si="2"/>
        <v>Tidak Eligible</v>
      </c>
    </row>
    <row r="38" spans="1:11" x14ac:dyDescent="0.3">
      <c r="A38" s="5">
        <v>37</v>
      </c>
      <c r="B38" s="5" t="s">
        <v>88</v>
      </c>
      <c r="C38" s="5" t="s">
        <v>817</v>
      </c>
      <c r="D38" s="5" t="s">
        <v>780</v>
      </c>
      <c r="E38" s="6">
        <f t="shared" si="0"/>
        <v>2025</v>
      </c>
      <c r="F38" s="5" t="str">
        <f>INDEX('Data Mahasiswa'!$N$1:$Q$14, MATCH(MID('Data Status Pendaftar'!B38, 5,2), 'Data Mahasiswa'!$N$1:$N$14,0),2)</f>
        <v>Sains</v>
      </c>
      <c r="G38" s="5" t="str" cm="1">
        <f t="array" ref="G38">INDEX('Data Mahasiswa'!$Q$2:$Q$14, MATCH(MID('Data Status Pendaftar'!B38,5,3), 'Data Mahasiswa'!$N$2:$N$14&amp;TEXT('Data Mahasiswa'!$P$2:$P$14,"0"), 0))</f>
        <v>Statistika</v>
      </c>
      <c r="H38" s="6">
        <f t="shared" ca="1" si="1"/>
        <v>2</v>
      </c>
      <c r="I38" s="7">
        <f>INDEX('Data Mahasiswa'!$A$1:$J$701, MATCH('Data Status Pendaftar'!B38, 'Data Mahasiswa'!$A$1:$A$701, 0), 10)</f>
        <v>3.125</v>
      </c>
      <c r="J38" s="5" t="str" cm="1">
        <f t="array" ref="J38">INDEX('Data Mahasiswa'!B38:I38,MATCH(MIN(VLOOKUP('Data Mahasiswa'!B38:I38,'Data Mahasiswa'!$N$27:$O$36,2,0)),VLOOKUP('Data Mahasiswa'!B38:I38,'Data Mahasiswa'!$N$27:$O$36,2,0),0))</f>
        <v>D</v>
      </c>
      <c r="K38" s="5" t="str">
        <f t="shared" si="2"/>
        <v>Tidak Eligible</v>
      </c>
    </row>
    <row r="39" spans="1:11" x14ac:dyDescent="0.3">
      <c r="A39" s="8">
        <v>38</v>
      </c>
      <c r="B39" s="8" t="s">
        <v>89</v>
      </c>
      <c r="C39" s="8" t="s">
        <v>818</v>
      </c>
      <c r="D39" s="8" t="s">
        <v>780</v>
      </c>
      <c r="E39" s="9">
        <f t="shared" si="0"/>
        <v>2025</v>
      </c>
      <c r="F39" s="8" t="str">
        <f>INDEX('Data Mahasiswa'!$N$1:$Q$14, MATCH(MID('Data Status Pendaftar'!B39, 5,2), 'Data Mahasiswa'!$N$1:$N$14,0),2)</f>
        <v>Sains</v>
      </c>
      <c r="G39" s="8" t="str" cm="1">
        <f t="array" ref="G39">INDEX('Data Mahasiswa'!$Q$2:$Q$14, MATCH(MID('Data Status Pendaftar'!B39,5,3), 'Data Mahasiswa'!$N$2:$N$14&amp;TEXT('Data Mahasiswa'!$P$2:$P$14,"0"), 0))</f>
        <v>Statistika</v>
      </c>
      <c r="H39" s="9">
        <f t="shared" ca="1" si="1"/>
        <v>2</v>
      </c>
      <c r="I39" s="10">
        <f>INDEX('Data Mahasiswa'!$A$1:$J$701, MATCH('Data Status Pendaftar'!B39, 'Data Mahasiswa'!$A$1:$A$701, 0), 10)</f>
        <v>3.1354166666666665</v>
      </c>
      <c r="J39" s="8" t="str" cm="1">
        <f t="array" ref="J39">INDEX('Data Mahasiswa'!B39:I39,MATCH(MIN(VLOOKUP('Data Mahasiswa'!B39:I39,'Data Mahasiswa'!$N$27:$O$36,2,0)),VLOOKUP('Data Mahasiswa'!B39:I39,'Data Mahasiswa'!$N$27:$O$36,2,0),0))</f>
        <v>C</v>
      </c>
      <c r="K39" s="8" t="str">
        <f t="shared" si="2"/>
        <v>Eligible</v>
      </c>
    </row>
    <row r="40" spans="1:11" x14ac:dyDescent="0.3">
      <c r="A40" s="5">
        <v>39</v>
      </c>
      <c r="B40" s="5" t="s">
        <v>90</v>
      </c>
      <c r="C40" s="5" t="s">
        <v>819</v>
      </c>
      <c r="D40" s="5" t="s">
        <v>780</v>
      </c>
      <c r="E40" s="6">
        <f t="shared" si="0"/>
        <v>2025</v>
      </c>
      <c r="F40" s="5" t="str">
        <f>INDEX('Data Mahasiswa'!$N$1:$Q$14, MATCH(MID('Data Status Pendaftar'!B40, 5,2), 'Data Mahasiswa'!$N$1:$N$14,0),2)</f>
        <v>Sains</v>
      </c>
      <c r="G40" s="5" t="str" cm="1">
        <f t="array" ref="G40">INDEX('Data Mahasiswa'!$Q$2:$Q$14, MATCH(MID('Data Status Pendaftar'!B40,5,3), 'Data Mahasiswa'!$N$2:$N$14&amp;TEXT('Data Mahasiswa'!$P$2:$P$14,"0"), 0))</f>
        <v>Statistika</v>
      </c>
      <c r="H40" s="6">
        <f t="shared" ca="1" si="1"/>
        <v>2</v>
      </c>
      <c r="I40" s="7">
        <f>INDEX('Data Mahasiswa'!$A$1:$J$701, MATCH('Data Status Pendaftar'!B40, 'Data Mahasiswa'!$A$1:$A$701, 0), 10)</f>
        <v>1.8958333333333333</v>
      </c>
      <c r="J40" s="5" t="str" cm="1">
        <f t="array" ref="J40">INDEX('Data Mahasiswa'!B40:I40,MATCH(MIN(VLOOKUP('Data Mahasiswa'!B40:I40,'Data Mahasiswa'!$N$27:$O$36,2,0)),VLOOKUP('Data Mahasiswa'!B40:I40,'Data Mahasiswa'!$N$27:$O$36,2,0),0))</f>
        <v>E</v>
      </c>
      <c r="K40" s="5" t="str">
        <f t="shared" si="2"/>
        <v>Tidak Eligible</v>
      </c>
    </row>
    <row r="41" spans="1:11" x14ac:dyDescent="0.3">
      <c r="A41" s="8">
        <v>40</v>
      </c>
      <c r="B41" s="8" t="s">
        <v>91</v>
      </c>
      <c r="C41" s="8" t="s">
        <v>820</v>
      </c>
      <c r="D41" s="8" t="s">
        <v>780</v>
      </c>
      <c r="E41" s="9">
        <f t="shared" si="0"/>
        <v>2025</v>
      </c>
      <c r="F41" s="8" t="str">
        <f>INDEX('Data Mahasiswa'!$N$1:$Q$14, MATCH(MID('Data Status Pendaftar'!B41, 5,2), 'Data Mahasiswa'!$N$1:$N$14,0),2)</f>
        <v>Sains</v>
      </c>
      <c r="G41" s="8" t="str" cm="1">
        <f t="array" ref="G41">INDEX('Data Mahasiswa'!$Q$2:$Q$14, MATCH(MID('Data Status Pendaftar'!B41,5,3), 'Data Mahasiswa'!$N$2:$N$14&amp;TEXT('Data Mahasiswa'!$P$2:$P$14,"0"), 0))</f>
        <v>Statistika</v>
      </c>
      <c r="H41" s="9">
        <f t="shared" ca="1" si="1"/>
        <v>2</v>
      </c>
      <c r="I41" s="10">
        <f>INDEX('Data Mahasiswa'!$A$1:$J$701, MATCH('Data Status Pendaftar'!B41, 'Data Mahasiswa'!$A$1:$A$701, 0), 10)</f>
        <v>3.5104166666666665</v>
      </c>
      <c r="J41" s="8" t="str" cm="1">
        <f t="array" ref="J41">INDEX('Data Mahasiswa'!B41:I41,MATCH(MIN(VLOOKUP('Data Mahasiswa'!B41:I41,'Data Mahasiswa'!$N$27:$O$36,2,0)),VLOOKUP('Data Mahasiswa'!B41:I41,'Data Mahasiswa'!$N$27:$O$36,2,0),0))</f>
        <v>B-</v>
      </c>
      <c r="K41" s="8" t="str">
        <f t="shared" si="2"/>
        <v>Eligible</v>
      </c>
    </row>
    <row r="42" spans="1:11" x14ac:dyDescent="0.3">
      <c r="A42" s="5">
        <v>41</v>
      </c>
      <c r="B42" s="5" t="s">
        <v>92</v>
      </c>
      <c r="C42" s="5" t="s">
        <v>821</v>
      </c>
      <c r="D42" s="5" t="s">
        <v>779</v>
      </c>
      <c r="E42" s="6">
        <f t="shared" si="0"/>
        <v>2025</v>
      </c>
      <c r="F42" s="5" t="str">
        <f>INDEX('Data Mahasiswa'!$N$1:$Q$14, MATCH(MID('Data Status Pendaftar'!B42, 5,2), 'Data Mahasiswa'!$N$1:$N$14,0),2)</f>
        <v>Sains</v>
      </c>
      <c r="G42" s="5" t="str" cm="1">
        <f t="array" ref="G42">INDEX('Data Mahasiswa'!$Q$2:$Q$14, MATCH(MID('Data Status Pendaftar'!B42,5,3), 'Data Mahasiswa'!$N$2:$N$14&amp;TEXT('Data Mahasiswa'!$P$2:$P$14,"0"), 0))</f>
        <v>Statistika</v>
      </c>
      <c r="H42" s="6">
        <f t="shared" ca="1" si="1"/>
        <v>2</v>
      </c>
      <c r="I42" s="7">
        <f>INDEX('Data Mahasiswa'!$A$1:$J$701, MATCH('Data Status Pendaftar'!B42, 'Data Mahasiswa'!$A$1:$A$701, 0), 10)</f>
        <v>2.8541666666666665</v>
      </c>
      <c r="J42" s="5" t="str" cm="1">
        <f t="array" ref="J42">INDEX('Data Mahasiswa'!B42:I42,MATCH(MIN(VLOOKUP('Data Mahasiswa'!B42:I42,'Data Mahasiswa'!$N$27:$O$36,2,0)),VLOOKUP('Data Mahasiswa'!B42:I42,'Data Mahasiswa'!$N$27:$O$36,2,0),0))</f>
        <v>E</v>
      </c>
      <c r="K42" s="5" t="str">
        <f t="shared" si="2"/>
        <v>Tidak Eligible</v>
      </c>
    </row>
    <row r="43" spans="1:11" x14ac:dyDescent="0.3">
      <c r="A43" s="8">
        <v>42</v>
      </c>
      <c r="B43" s="8" t="s">
        <v>93</v>
      </c>
      <c r="C43" s="8" t="s">
        <v>822</v>
      </c>
      <c r="D43" s="8" t="s">
        <v>780</v>
      </c>
      <c r="E43" s="9">
        <f t="shared" si="0"/>
        <v>2025</v>
      </c>
      <c r="F43" s="8" t="str">
        <f>INDEX('Data Mahasiswa'!$N$1:$Q$14, MATCH(MID('Data Status Pendaftar'!B43, 5,2), 'Data Mahasiswa'!$N$1:$N$14,0),2)</f>
        <v>Sains</v>
      </c>
      <c r="G43" s="8" t="str" cm="1">
        <f t="array" ref="G43">INDEX('Data Mahasiswa'!$Q$2:$Q$14, MATCH(MID('Data Status Pendaftar'!B43,5,3), 'Data Mahasiswa'!$N$2:$N$14&amp;TEXT('Data Mahasiswa'!$P$2:$P$14,"0"), 0))</f>
        <v>Statistika</v>
      </c>
      <c r="H43" s="9">
        <f t="shared" ca="1" si="1"/>
        <v>2</v>
      </c>
      <c r="I43" s="10">
        <f>INDEX('Data Mahasiswa'!$A$1:$J$701, MATCH('Data Status Pendaftar'!B43, 'Data Mahasiswa'!$A$1:$A$701, 0), 10)</f>
        <v>2.8958333333333335</v>
      </c>
      <c r="J43" s="8" t="str" cm="1">
        <f t="array" ref="J43">INDEX('Data Mahasiswa'!B43:I43,MATCH(MIN(VLOOKUP('Data Mahasiswa'!B43:I43,'Data Mahasiswa'!$N$27:$O$36,2,0)),VLOOKUP('Data Mahasiswa'!B43:I43,'Data Mahasiswa'!$N$27:$O$36,2,0),0))</f>
        <v>E</v>
      </c>
      <c r="K43" s="8" t="str">
        <f t="shared" si="2"/>
        <v>Tidak Eligible</v>
      </c>
    </row>
    <row r="44" spans="1:11" x14ac:dyDescent="0.3">
      <c r="A44" s="5">
        <v>43</v>
      </c>
      <c r="B44" s="5" t="s">
        <v>94</v>
      </c>
      <c r="C44" s="5" t="s">
        <v>823</v>
      </c>
      <c r="D44" s="5" t="s">
        <v>780</v>
      </c>
      <c r="E44" s="6">
        <f t="shared" si="0"/>
        <v>2025</v>
      </c>
      <c r="F44" s="5" t="str">
        <f>INDEX('Data Mahasiswa'!$N$1:$Q$14, MATCH(MID('Data Status Pendaftar'!B44, 5,2), 'Data Mahasiswa'!$N$1:$N$14,0),2)</f>
        <v>Sains</v>
      </c>
      <c r="G44" s="5" t="str" cm="1">
        <f t="array" ref="G44">INDEX('Data Mahasiswa'!$Q$2:$Q$14, MATCH(MID('Data Status Pendaftar'!B44,5,3), 'Data Mahasiswa'!$N$2:$N$14&amp;TEXT('Data Mahasiswa'!$P$2:$P$14,"0"), 0))</f>
        <v>Statistika</v>
      </c>
      <c r="H44" s="6">
        <f t="shared" ca="1" si="1"/>
        <v>2</v>
      </c>
      <c r="I44" s="7">
        <f>INDEX('Data Mahasiswa'!$A$1:$J$701, MATCH('Data Status Pendaftar'!B44, 'Data Mahasiswa'!$A$1:$A$701, 0), 10)</f>
        <v>2.9270833333333335</v>
      </c>
      <c r="J44" s="5" t="str" cm="1">
        <f t="array" ref="J44">INDEX('Data Mahasiswa'!B44:I44,MATCH(MIN(VLOOKUP('Data Mahasiswa'!B44:I44,'Data Mahasiswa'!$N$27:$O$36,2,0)),VLOOKUP('Data Mahasiswa'!B44:I44,'Data Mahasiswa'!$N$27:$O$36,2,0),0))</f>
        <v>C</v>
      </c>
      <c r="K44" s="5" t="str">
        <f t="shared" si="2"/>
        <v>Eligible</v>
      </c>
    </row>
    <row r="45" spans="1:11" x14ac:dyDescent="0.3">
      <c r="A45" s="8">
        <v>44</v>
      </c>
      <c r="B45" s="8" t="s">
        <v>95</v>
      </c>
      <c r="C45" s="8" t="s">
        <v>824</v>
      </c>
      <c r="D45" s="8" t="s">
        <v>779</v>
      </c>
      <c r="E45" s="9">
        <f t="shared" si="0"/>
        <v>2025</v>
      </c>
      <c r="F45" s="8" t="str">
        <f>INDEX('Data Mahasiswa'!$N$1:$Q$14, MATCH(MID('Data Status Pendaftar'!B45, 5,2), 'Data Mahasiswa'!$N$1:$N$14,0),2)</f>
        <v>Sains</v>
      </c>
      <c r="G45" s="8" t="str" cm="1">
        <f t="array" ref="G45">INDEX('Data Mahasiswa'!$Q$2:$Q$14, MATCH(MID('Data Status Pendaftar'!B45,5,3), 'Data Mahasiswa'!$N$2:$N$14&amp;TEXT('Data Mahasiswa'!$P$2:$P$14,"0"), 0))</f>
        <v>Biologi</v>
      </c>
      <c r="H45" s="9">
        <f t="shared" ca="1" si="1"/>
        <v>2</v>
      </c>
      <c r="I45" s="10">
        <f>INDEX('Data Mahasiswa'!$A$1:$J$701, MATCH('Data Status Pendaftar'!B45, 'Data Mahasiswa'!$A$1:$A$701, 0), 10)</f>
        <v>3.1770833333333335</v>
      </c>
      <c r="J45" s="8" t="str" cm="1">
        <f t="array" ref="J45">INDEX('Data Mahasiswa'!B45:I45,MATCH(MIN(VLOOKUP('Data Mahasiswa'!B45:I45,'Data Mahasiswa'!$N$27:$O$36,2,0)),VLOOKUP('Data Mahasiswa'!B45:I45,'Data Mahasiswa'!$N$27:$O$36,2,0),0))</f>
        <v>D</v>
      </c>
      <c r="K45" s="8" t="str">
        <f t="shared" si="2"/>
        <v>Tidak Eligible</v>
      </c>
    </row>
    <row r="46" spans="1:11" x14ac:dyDescent="0.3">
      <c r="A46" s="5">
        <v>45</v>
      </c>
      <c r="B46" s="5" t="s">
        <v>96</v>
      </c>
      <c r="C46" s="5" t="s">
        <v>825</v>
      </c>
      <c r="D46" s="5" t="s">
        <v>779</v>
      </c>
      <c r="E46" s="6">
        <f t="shared" si="0"/>
        <v>2025</v>
      </c>
      <c r="F46" s="5" t="str">
        <f>INDEX('Data Mahasiswa'!$N$1:$Q$14, MATCH(MID('Data Status Pendaftar'!B46, 5,2), 'Data Mahasiswa'!$N$1:$N$14,0),2)</f>
        <v>Sains</v>
      </c>
      <c r="G46" s="5" t="str" cm="1">
        <f t="array" ref="G46">INDEX('Data Mahasiswa'!$Q$2:$Q$14, MATCH(MID('Data Status Pendaftar'!B46,5,3), 'Data Mahasiswa'!$N$2:$N$14&amp;TEXT('Data Mahasiswa'!$P$2:$P$14,"0"), 0))</f>
        <v>Biologi</v>
      </c>
      <c r="H46" s="6">
        <f t="shared" ca="1" si="1"/>
        <v>2</v>
      </c>
      <c r="I46" s="7">
        <f>INDEX('Data Mahasiswa'!$A$1:$J$701, MATCH('Data Status Pendaftar'!B46, 'Data Mahasiswa'!$A$1:$A$701, 0), 10)</f>
        <v>2.8333333333333335</v>
      </c>
      <c r="J46" s="5" t="str" cm="1">
        <f t="array" ref="J46">INDEX('Data Mahasiswa'!B46:I46,MATCH(MIN(VLOOKUP('Data Mahasiswa'!B46:I46,'Data Mahasiswa'!$N$27:$O$36,2,0)),VLOOKUP('Data Mahasiswa'!B46:I46,'Data Mahasiswa'!$N$27:$O$36,2,0),0))</f>
        <v>C</v>
      </c>
      <c r="K46" s="5" t="str">
        <f t="shared" si="2"/>
        <v>Eligible</v>
      </c>
    </row>
    <row r="47" spans="1:11" x14ac:dyDescent="0.3">
      <c r="A47" s="8">
        <v>46</v>
      </c>
      <c r="B47" s="8" t="s">
        <v>97</v>
      </c>
      <c r="C47" s="8" t="s">
        <v>826</v>
      </c>
      <c r="D47" s="8" t="s">
        <v>779</v>
      </c>
      <c r="E47" s="9">
        <f t="shared" si="0"/>
        <v>2025</v>
      </c>
      <c r="F47" s="8" t="str">
        <f>INDEX('Data Mahasiswa'!$N$1:$Q$14, MATCH(MID('Data Status Pendaftar'!B47, 5,2), 'Data Mahasiswa'!$N$1:$N$14,0),2)</f>
        <v>Sains</v>
      </c>
      <c r="G47" s="8" t="str" cm="1">
        <f t="array" ref="G47">INDEX('Data Mahasiswa'!$Q$2:$Q$14, MATCH(MID('Data Status Pendaftar'!B47,5,3), 'Data Mahasiswa'!$N$2:$N$14&amp;TEXT('Data Mahasiswa'!$P$2:$P$14,"0"), 0))</f>
        <v>Biologi</v>
      </c>
      <c r="H47" s="9">
        <f t="shared" ca="1" si="1"/>
        <v>2</v>
      </c>
      <c r="I47" s="10">
        <f>INDEX('Data Mahasiswa'!$A$1:$J$701, MATCH('Data Status Pendaftar'!B47, 'Data Mahasiswa'!$A$1:$A$701, 0), 10)</f>
        <v>3.78125</v>
      </c>
      <c r="J47" s="8" t="str" cm="1">
        <f t="array" ref="J47">INDEX('Data Mahasiswa'!B47:I47,MATCH(MIN(VLOOKUP('Data Mahasiswa'!B47:I47,'Data Mahasiswa'!$N$27:$O$36,2,0)),VLOOKUP('Data Mahasiswa'!B47:I47,'Data Mahasiswa'!$N$27:$O$36,2,0),0))</f>
        <v>B</v>
      </c>
      <c r="K47" s="8" t="str">
        <f t="shared" si="2"/>
        <v>Eligible</v>
      </c>
    </row>
    <row r="48" spans="1:11" x14ac:dyDescent="0.3">
      <c r="A48" s="5">
        <v>47</v>
      </c>
      <c r="B48" s="5" t="s">
        <v>98</v>
      </c>
      <c r="C48" s="5" t="s">
        <v>754</v>
      </c>
      <c r="D48" s="5" t="s">
        <v>779</v>
      </c>
      <c r="E48" s="6">
        <f t="shared" si="0"/>
        <v>2025</v>
      </c>
      <c r="F48" s="5" t="str">
        <f>INDEX('Data Mahasiswa'!$N$1:$Q$14, MATCH(MID('Data Status Pendaftar'!B48, 5,2), 'Data Mahasiswa'!$N$1:$N$14,0),2)</f>
        <v>Sains</v>
      </c>
      <c r="G48" s="5" t="str" cm="1">
        <f t="array" ref="G48">INDEX('Data Mahasiswa'!$Q$2:$Q$14, MATCH(MID('Data Status Pendaftar'!B48,5,3), 'Data Mahasiswa'!$N$2:$N$14&amp;TEXT('Data Mahasiswa'!$P$2:$P$14,"0"), 0))</f>
        <v>Biologi</v>
      </c>
      <c r="H48" s="6">
        <f t="shared" ca="1" si="1"/>
        <v>2</v>
      </c>
      <c r="I48" s="7">
        <f>INDEX('Data Mahasiswa'!$A$1:$J$701, MATCH('Data Status Pendaftar'!B48, 'Data Mahasiswa'!$A$1:$A$701, 0), 10)</f>
        <v>3.5104166666666665</v>
      </c>
      <c r="J48" s="5" t="str" cm="1">
        <f t="array" ref="J48">INDEX('Data Mahasiswa'!B48:I48,MATCH(MIN(VLOOKUP('Data Mahasiswa'!B48:I48,'Data Mahasiswa'!$N$27:$O$36,2,0)),VLOOKUP('Data Mahasiswa'!B48:I48,'Data Mahasiswa'!$N$27:$O$36,2,0),0))</f>
        <v>C+</v>
      </c>
      <c r="K48" s="5" t="str">
        <f t="shared" si="2"/>
        <v>Eligible</v>
      </c>
    </row>
    <row r="49" spans="1:11" x14ac:dyDescent="0.3">
      <c r="A49" s="8">
        <v>48</v>
      </c>
      <c r="B49" s="8" t="s">
        <v>99</v>
      </c>
      <c r="C49" s="8" t="s">
        <v>827</v>
      </c>
      <c r="D49" s="8" t="s">
        <v>779</v>
      </c>
      <c r="E49" s="9">
        <f t="shared" si="0"/>
        <v>2025</v>
      </c>
      <c r="F49" s="8" t="str">
        <f>INDEX('Data Mahasiswa'!$N$1:$Q$14, MATCH(MID('Data Status Pendaftar'!B49, 5,2), 'Data Mahasiswa'!$N$1:$N$14,0),2)</f>
        <v>Sains</v>
      </c>
      <c r="G49" s="8" t="str" cm="1">
        <f t="array" ref="G49">INDEX('Data Mahasiswa'!$Q$2:$Q$14, MATCH(MID('Data Status Pendaftar'!B49,5,3), 'Data Mahasiswa'!$N$2:$N$14&amp;TEXT('Data Mahasiswa'!$P$2:$P$14,"0"), 0))</f>
        <v>Biologi</v>
      </c>
      <c r="H49" s="9">
        <f t="shared" ca="1" si="1"/>
        <v>2</v>
      </c>
      <c r="I49" s="10">
        <f>INDEX('Data Mahasiswa'!$A$1:$J$701, MATCH('Data Status Pendaftar'!B49, 'Data Mahasiswa'!$A$1:$A$701, 0), 10)</f>
        <v>3.25</v>
      </c>
      <c r="J49" s="8" t="str" cm="1">
        <f t="array" ref="J49">INDEX('Data Mahasiswa'!B49:I49,MATCH(MIN(VLOOKUP('Data Mahasiswa'!B49:I49,'Data Mahasiswa'!$N$27:$O$36,2,0)),VLOOKUP('Data Mahasiswa'!B49:I49,'Data Mahasiswa'!$N$27:$O$36,2,0),0))</f>
        <v>D</v>
      </c>
      <c r="K49" s="8" t="str">
        <f t="shared" si="2"/>
        <v>Tidak Eligible</v>
      </c>
    </row>
    <row r="50" spans="1:11" x14ac:dyDescent="0.3">
      <c r="A50" s="5">
        <v>49</v>
      </c>
      <c r="B50" s="5" t="s">
        <v>100</v>
      </c>
      <c r="C50" s="5" t="s">
        <v>828</v>
      </c>
      <c r="D50" s="5" t="s">
        <v>779</v>
      </c>
      <c r="E50" s="6">
        <f t="shared" si="0"/>
        <v>2025</v>
      </c>
      <c r="F50" s="5" t="str">
        <f>INDEX('Data Mahasiswa'!$N$1:$Q$14, MATCH(MID('Data Status Pendaftar'!B50, 5,2), 'Data Mahasiswa'!$N$1:$N$14,0),2)</f>
        <v>Sains</v>
      </c>
      <c r="G50" s="5" t="str" cm="1">
        <f t="array" ref="G50">INDEX('Data Mahasiswa'!$Q$2:$Q$14, MATCH(MID('Data Status Pendaftar'!B50,5,3), 'Data Mahasiswa'!$N$2:$N$14&amp;TEXT('Data Mahasiswa'!$P$2:$P$14,"0"), 0))</f>
        <v>Biologi</v>
      </c>
      <c r="H50" s="6">
        <f t="shared" ca="1" si="1"/>
        <v>2</v>
      </c>
      <c r="I50" s="7">
        <f>INDEX('Data Mahasiswa'!$A$1:$J$701, MATCH('Data Status Pendaftar'!B50, 'Data Mahasiswa'!$A$1:$A$701, 0), 10)</f>
        <v>2.4479166666666665</v>
      </c>
      <c r="J50" s="5" t="str" cm="1">
        <f t="array" ref="J50">INDEX('Data Mahasiswa'!B50:I50,MATCH(MIN(VLOOKUP('Data Mahasiswa'!B50:I50,'Data Mahasiswa'!$N$27:$O$36,2,0)),VLOOKUP('Data Mahasiswa'!B50:I50,'Data Mahasiswa'!$N$27:$O$36,2,0),0))</f>
        <v>E</v>
      </c>
      <c r="K50" s="5" t="str">
        <f t="shared" si="2"/>
        <v>Tidak Eligible</v>
      </c>
    </row>
    <row r="51" spans="1:11" x14ac:dyDescent="0.3">
      <c r="A51" s="8">
        <v>50</v>
      </c>
      <c r="B51" s="8" t="s">
        <v>101</v>
      </c>
      <c r="C51" s="8" t="s">
        <v>829</v>
      </c>
      <c r="D51" s="8" t="s">
        <v>780</v>
      </c>
      <c r="E51" s="9">
        <f t="shared" si="0"/>
        <v>2025</v>
      </c>
      <c r="F51" s="8" t="str">
        <f>INDEX('Data Mahasiswa'!$N$1:$Q$14, MATCH(MID('Data Status Pendaftar'!B51, 5,2), 'Data Mahasiswa'!$N$1:$N$14,0),2)</f>
        <v>Sains</v>
      </c>
      <c r="G51" s="8" t="str" cm="1">
        <f t="array" ref="G51">INDEX('Data Mahasiswa'!$Q$2:$Q$14, MATCH(MID('Data Status Pendaftar'!B51,5,3), 'Data Mahasiswa'!$N$2:$N$14&amp;TEXT('Data Mahasiswa'!$P$2:$P$14,"0"), 0))</f>
        <v>Biologi</v>
      </c>
      <c r="H51" s="9">
        <f t="shared" ca="1" si="1"/>
        <v>2</v>
      </c>
      <c r="I51" s="10">
        <f>INDEX('Data Mahasiswa'!$A$1:$J$701, MATCH('Data Status Pendaftar'!B51, 'Data Mahasiswa'!$A$1:$A$701, 0), 10)</f>
        <v>3.3229166666666665</v>
      </c>
      <c r="J51" s="8" t="str" cm="1">
        <f t="array" ref="J51">INDEX('Data Mahasiswa'!B51:I51,MATCH(MIN(VLOOKUP('Data Mahasiswa'!B51:I51,'Data Mahasiswa'!$N$27:$O$36,2,0)),VLOOKUP('Data Mahasiswa'!B51:I51,'Data Mahasiswa'!$N$27:$O$36,2,0),0))</f>
        <v>C+</v>
      </c>
      <c r="K51" s="8" t="str">
        <f t="shared" si="2"/>
        <v>Eligible</v>
      </c>
    </row>
    <row r="52" spans="1:11" x14ac:dyDescent="0.3">
      <c r="A52" s="5">
        <v>51</v>
      </c>
      <c r="B52" s="5" t="s">
        <v>102</v>
      </c>
      <c r="C52" s="5" t="s">
        <v>830</v>
      </c>
      <c r="D52" s="5" t="s">
        <v>779</v>
      </c>
      <c r="E52" s="6">
        <f t="shared" si="0"/>
        <v>2025</v>
      </c>
      <c r="F52" s="5" t="str">
        <f>INDEX('Data Mahasiswa'!$N$1:$Q$14, MATCH(MID('Data Status Pendaftar'!B52, 5,2), 'Data Mahasiswa'!$N$1:$N$14,0),2)</f>
        <v>Sains</v>
      </c>
      <c r="G52" s="5" t="str" cm="1">
        <f t="array" ref="G52">INDEX('Data Mahasiswa'!$Q$2:$Q$14, MATCH(MID('Data Status Pendaftar'!B52,5,3), 'Data Mahasiswa'!$N$2:$N$14&amp;TEXT('Data Mahasiswa'!$P$2:$P$14,"0"), 0))</f>
        <v>Biologi</v>
      </c>
      <c r="H52" s="6">
        <f t="shared" ca="1" si="1"/>
        <v>2</v>
      </c>
      <c r="I52" s="7">
        <f>INDEX('Data Mahasiswa'!$A$1:$J$701, MATCH('Data Status Pendaftar'!B52, 'Data Mahasiswa'!$A$1:$A$701, 0), 10)</f>
        <v>3.15625</v>
      </c>
      <c r="J52" s="5" t="str" cm="1">
        <f t="array" ref="J52">INDEX('Data Mahasiswa'!B52:I52,MATCH(MIN(VLOOKUP('Data Mahasiswa'!B52:I52,'Data Mahasiswa'!$N$27:$O$36,2,0)),VLOOKUP('Data Mahasiswa'!B52:I52,'Data Mahasiswa'!$N$27:$O$36,2,0),0))</f>
        <v>C</v>
      </c>
      <c r="K52" s="5" t="str">
        <f t="shared" si="2"/>
        <v>Eligible</v>
      </c>
    </row>
    <row r="53" spans="1:11" x14ac:dyDescent="0.3">
      <c r="A53" s="8">
        <v>52</v>
      </c>
      <c r="B53" s="8" t="s">
        <v>103</v>
      </c>
      <c r="C53" s="8" t="s">
        <v>831</v>
      </c>
      <c r="D53" s="8" t="s">
        <v>780</v>
      </c>
      <c r="E53" s="9">
        <f t="shared" si="0"/>
        <v>2025</v>
      </c>
      <c r="F53" s="8" t="str">
        <f>INDEX('Data Mahasiswa'!$N$1:$Q$14, MATCH(MID('Data Status Pendaftar'!B53, 5,2), 'Data Mahasiswa'!$N$1:$N$14,0),2)</f>
        <v>Sains</v>
      </c>
      <c r="G53" s="8" t="str" cm="1">
        <f t="array" ref="G53">INDEX('Data Mahasiswa'!$Q$2:$Q$14, MATCH(MID('Data Status Pendaftar'!B53,5,3), 'Data Mahasiswa'!$N$2:$N$14&amp;TEXT('Data Mahasiswa'!$P$2:$P$14,"0"), 0))</f>
        <v>Biologi</v>
      </c>
      <c r="H53" s="9">
        <f t="shared" ca="1" si="1"/>
        <v>2</v>
      </c>
      <c r="I53" s="10">
        <f>INDEX('Data Mahasiswa'!$A$1:$J$701, MATCH('Data Status Pendaftar'!B53, 'Data Mahasiswa'!$A$1:$A$701, 0), 10)</f>
        <v>3.1770833333333335</v>
      </c>
      <c r="J53" s="8" t="str" cm="1">
        <f t="array" ref="J53">INDEX('Data Mahasiswa'!B53:I53,MATCH(MIN(VLOOKUP('Data Mahasiswa'!B53:I53,'Data Mahasiswa'!$N$27:$O$36,2,0)),VLOOKUP('Data Mahasiswa'!B53:I53,'Data Mahasiswa'!$N$27:$O$36,2,0),0))</f>
        <v>D</v>
      </c>
      <c r="K53" s="8" t="str">
        <f t="shared" si="2"/>
        <v>Tidak Eligible</v>
      </c>
    </row>
    <row r="54" spans="1:11" x14ac:dyDescent="0.3">
      <c r="A54" s="5">
        <v>53</v>
      </c>
      <c r="B54" s="5" t="s">
        <v>104</v>
      </c>
      <c r="C54" s="5" t="s">
        <v>832</v>
      </c>
      <c r="D54" s="5" t="s">
        <v>779</v>
      </c>
      <c r="E54" s="6">
        <f t="shared" si="0"/>
        <v>2025</v>
      </c>
      <c r="F54" s="5" t="str">
        <f>INDEX('Data Mahasiswa'!$N$1:$Q$14, MATCH(MID('Data Status Pendaftar'!B54, 5,2), 'Data Mahasiswa'!$N$1:$N$14,0),2)</f>
        <v>Sains</v>
      </c>
      <c r="G54" s="5" t="str" cm="1">
        <f t="array" ref="G54">INDEX('Data Mahasiswa'!$Q$2:$Q$14, MATCH(MID('Data Status Pendaftar'!B54,5,3), 'Data Mahasiswa'!$N$2:$N$14&amp;TEXT('Data Mahasiswa'!$P$2:$P$14,"0"), 0))</f>
        <v>Biologi</v>
      </c>
      <c r="H54" s="6">
        <f t="shared" ca="1" si="1"/>
        <v>2</v>
      </c>
      <c r="I54" s="7">
        <f>INDEX('Data Mahasiswa'!$A$1:$J$701, MATCH('Data Status Pendaftar'!B54, 'Data Mahasiswa'!$A$1:$A$701, 0), 10)</f>
        <v>2.6041666666666665</v>
      </c>
      <c r="J54" s="5" t="str" cm="1">
        <f t="array" ref="J54">INDEX('Data Mahasiswa'!B54:I54,MATCH(MIN(VLOOKUP('Data Mahasiswa'!B54:I54,'Data Mahasiswa'!$N$27:$O$36,2,0)),VLOOKUP('Data Mahasiswa'!B54:I54,'Data Mahasiswa'!$N$27:$O$36,2,0),0))</f>
        <v>E</v>
      </c>
      <c r="K54" s="5" t="str">
        <f t="shared" si="2"/>
        <v>Tidak Eligible</v>
      </c>
    </row>
    <row r="55" spans="1:11" x14ac:dyDescent="0.3">
      <c r="A55" s="8">
        <v>54</v>
      </c>
      <c r="B55" s="8" t="s">
        <v>105</v>
      </c>
      <c r="C55" s="8" t="s">
        <v>833</v>
      </c>
      <c r="D55" s="8" t="s">
        <v>779</v>
      </c>
      <c r="E55" s="9">
        <f t="shared" si="0"/>
        <v>2025</v>
      </c>
      <c r="F55" s="8" t="str">
        <f>INDEX('Data Mahasiswa'!$N$1:$Q$14, MATCH(MID('Data Status Pendaftar'!B55, 5,2), 'Data Mahasiswa'!$N$1:$N$14,0),2)</f>
        <v>Sains</v>
      </c>
      <c r="G55" s="8" t="str" cm="1">
        <f t="array" ref="G55">INDEX('Data Mahasiswa'!$Q$2:$Q$14, MATCH(MID('Data Status Pendaftar'!B55,5,3), 'Data Mahasiswa'!$N$2:$N$14&amp;TEXT('Data Mahasiswa'!$P$2:$P$14,"0"), 0))</f>
        <v>Biologi</v>
      </c>
      <c r="H55" s="9">
        <f t="shared" ca="1" si="1"/>
        <v>2</v>
      </c>
      <c r="I55" s="10">
        <f>INDEX('Data Mahasiswa'!$A$1:$J$701, MATCH('Data Status Pendaftar'!B55, 'Data Mahasiswa'!$A$1:$A$701, 0), 10)</f>
        <v>3.4166666666666665</v>
      </c>
      <c r="J55" s="8" t="str" cm="1">
        <f t="array" ref="J55">INDEX('Data Mahasiswa'!B55:I55,MATCH(MIN(VLOOKUP('Data Mahasiswa'!B55:I55,'Data Mahasiswa'!$N$27:$O$36,2,0)),VLOOKUP('Data Mahasiswa'!B55:I55,'Data Mahasiswa'!$N$27:$O$36,2,0),0))</f>
        <v>B</v>
      </c>
      <c r="K55" s="8" t="str">
        <f t="shared" si="2"/>
        <v>Eligible</v>
      </c>
    </row>
    <row r="56" spans="1:11" x14ac:dyDescent="0.3">
      <c r="A56" s="5">
        <v>55</v>
      </c>
      <c r="B56" s="5" t="s">
        <v>106</v>
      </c>
      <c r="C56" s="5" t="s">
        <v>832</v>
      </c>
      <c r="D56" s="5" t="s">
        <v>779</v>
      </c>
      <c r="E56" s="6">
        <f t="shared" si="0"/>
        <v>2025</v>
      </c>
      <c r="F56" s="5" t="str">
        <f>INDEX('Data Mahasiswa'!$N$1:$Q$14, MATCH(MID('Data Status Pendaftar'!B56, 5,2), 'Data Mahasiswa'!$N$1:$N$14,0),2)</f>
        <v>Sains</v>
      </c>
      <c r="G56" s="5" t="str" cm="1">
        <f t="array" ref="G56">INDEX('Data Mahasiswa'!$Q$2:$Q$14, MATCH(MID('Data Status Pendaftar'!B56,5,3), 'Data Mahasiswa'!$N$2:$N$14&amp;TEXT('Data Mahasiswa'!$P$2:$P$14,"0"), 0))</f>
        <v>Biologi</v>
      </c>
      <c r="H56" s="6">
        <f t="shared" ca="1" si="1"/>
        <v>2</v>
      </c>
      <c r="I56" s="7">
        <f>INDEX('Data Mahasiswa'!$A$1:$J$701, MATCH('Data Status Pendaftar'!B56, 'Data Mahasiswa'!$A$1:$A$701, 0), 10)</f>
        <v>3.3645833333333335</v>
      </c>
      <c r="J56" s="5" t="str" cm="1">
        <f t="array" ref="J56">INDEX('Data Mahasiswa'!B56:I56,MATCH(MIN(VLOOKUP('Data Mahasiswa'!B56:I56,'Data Mahasiswa'!$N$27:$O$36,2,0)),VLOOKUP('Data Mahasiswa'!B56:I56,'Data Mahasiswa'!$N$27:$O$36,2,0),0))</f>
        <v>C+</v>
      </c>
      <c r="K56" s="5" t="str">
        <f t="shared" si="2"/>
        <v>Eligible</v>
      </c>
    </row>
    <row r="57" spans="1:11" x14ac:dyDescent="0.3">
      <c r="A57" s="8">
        <v>56</v>
      </c>
      <c r="B57" s="8" t="s">
        <v>107</v>
      </c>
      <c r="C57" s="8" t="s">
        <v>834</v>
      </c>
      <c r="D57" s="8" t="s">
        <v>779</v>
      </c>
      <c r="E57" s="9">
        <f t="shared" si="0"/>
        <v>2025</v>
      </c>
      <c r="F57" s="8" t="str">
        <f>INDEX('Data Mahasiswa'!$N$1:$Q$14, MATCH(MID('Data Status Pendaftar'!B57, 5,2), 'Data Mahasiswa'!$N$1:$N$14,0),2)</f>
        <v>Sains</v>
      </c>
      <c r="G57" s="8" t="str" cm="1">
        <f t="array" ref="G57">INDEX('Data Mahasiswa'!$Q$2:$Q$14, MATCH(MID('Data Status Pendaftar'!B57,5,3), 'Data Mahasiswa'!$N$2:$N$14&amp;TEXT('Data Mahasiswa'!$P$2:$P$14,"0"), 0))</f>
        <v>Biologi</v>
      </c>
      <c r="H57" s="9">
        <f t="shared" ca="1" si="1"/>
        <v>2</v>
      </c>
      <c r="I57" s="10">
        <f>INDEX('Data Mahasiswa'!$A$1:$J$701, MATCH('Data Status Pendaftar'!B57, 'Data Mahasiswa'!$A$1:$A$701, 0), 10)</f>
        <v>2.65625</v>
      </c>
      <c r="J57" s="8" t="str" cm="1">
        <f t="array" ref="J57">INDEX('Data Mahasiswa'!B57:I57,MATCH(MIN(VLOOKUP('Data Mahasiswa'!B57:I57,'Data Mahasiswa'!$N$27:$O$36,2,0)),VLOOKUP('Data Mahasiswa'!B57:I57,'Data Mahasiswa'!$N$27:$O$36,2,0),0))</f>
        <v>E</v>
      </c>
      <c r="K57" s="8" t="str">
        <f t="shared" si="2"/>
        <v>Tidak Eligible</v>
      </c>
    </row>
    <row r="58" spans="1:11" x14ac:dyDescent="0.3">
      <c r="A58" s="5">
        <v>57</v>
      </c>
      <c r="B58" s="5" t="s">
        <v>108</v>
      </c>
      <c r="C58" s="5" t="s">
        <v>835</v>
      </c>
      <c r="D58" s="5" t="s">
        <v>780</v>
      </c>
      <c r="E58" s="6">
        <f t="shared" si="0"/>
        <v>2025</v>
      </c>
      <c r="F58" s="5" t="str">
        <f>INDEX('Data Mahasiswa'!$N$1:$Q$14, MATCH(MID('Data Status Pendaftar'!B58, 5,2), 'Data Mahasiswa'!$N$1:$N$14,0),2)</f>
        <v>Sains</v>
      </c>
      <c r="G58" s="5" t="str" cm="1">
        <f t="array" ref="G58">INDEX('Data Mahasiswa'!$Q$2:$Q$14, MATCH(MID('Data Status Pendaftar'!B58,5,3), 'Data Mahasiswa'!$N$2:$N$14&amp;TEXT('Data Mahasiswa'!$P$2:$P$14,"0"), 0))</f>
        <v>Biologi</v>
      </c>
      <c r="H58" s="6">
        <f t="shared" ca="1" si="1"/>
        <v>2</v>
      </c>
      <c r="I58" s="7">
        <f>INDEX('Data Mahasiswa'!$A$1:$J$701, MATCH('Data Status Pendaftar'!B58, 'Data Mahasiswa'!$A$1:$A$701, 0), 10)</f>
        <v>3.0625</v>
      </c>
      <c r="J58" s="5" t="str" cm="1">
        <f t="array" ref="J58">INDEX('Data Mahasiswa'!B58:I58,MATCH(MIN(VLOOKUP('Data Mahasiswa'!B58:I58,'Data Mahasiswa'!$N$27:$O$36,2,0)),VLOOKUP('Data Mahasiswa'!B58:I58,'Data Mahasiswa'!$N$27:$O$36,2,0),0))</f>
        <v>C</v>
      </c>
      <c r="K58" s="5" t="str">
        <f t="shared" si="2"/>
        <v>Eligible</v>
      </c>
    </row>
    <row r="59" spans="1:11" x14ac:dyDescent="0.3">
      <c r="A59" s="8">
        <v>58</v>
      </c>
      <c r="B59" s="8" t="s">
        <v>109</v>
      </c>
      <c r="C59" s="8" t="s">
        <v>836</v>
      </c>
      <c r="D59" s="8" t="s">
        <v>779</v>
      </c>
      <c r="E59" s="9">
        <f t="shared" si="0"/>
        <v>2025</v>
      </c>
      <c r="F59" s="8" t="str">
        <f>INDEX('Data Mahasiswa'!$N$1:$Q$14, MATCH(MID('Data Status Pendaftar'!B59, 5,2), 'Data Mahasiswa'!$N$1:$N$14,0),2)</f>
        <v>Sains</v>
      </c>
      <c r="G59" s="8" t="str" cm="1">
        <f t="array" ref="G59">INDEX('Data Mahasiswa'!$Q$2:$Q$14, MATCH(MID('Data Status Pendaftar'!B59,5,3), 'Data Mahasiswa'!$N$2:$N$14&amp;TEXT('Data Mahasiswa'!$P$2:$P$14,"0"), 0))</f>
        <v>Biologi</v>
      </c>
      <c r="H59" s="9">
        <f t="shared" ca="1" si="1"/>
        <v>2</v>
      </c>
      <c r="I59" s="10">
        <f>INDEX('Data Mahasiswa'!$A$1:$J$701, MATCH('Data Status Pendaftar'!B59, 'Data Mahasiswa'!$A$1:$A$701, 0), 10)</f>
        <v>2.65625</v>
      </c>
      <c r="J59" s="8" t="str" cm="1">
        <f t="array" ref="J59">INDEX('Data Mahasiswa'!B59:I59,MATCH(MIN(VLOOKUP('Data Mahasiswa'!B59:I59,'Data Mahasiswa'!$N$27:$O$36,2,0)),VLOOKUP('Data Mahasiswa'!B59:I59,'Data Mahasiswa'!$N$27:$O$36,2,0),0))</f>
        <v>C</v>
      </c>
      <c r="K59" s="8" t="str">
        <f t="shared" si="2"/>
        <v>Tidak Eligible</v>
      </c>
    </row>
    <row r="60" spans="1:11" x14ac:dyDescent="0.3">
      <c r="A60" s="5">
        <v>59</v>
      </c>
      <c r="B60" s="5" t="s">
        <v>110</v>
      </c>
      <c r="C60" s="5" t="s">
        <v>837</v>
      </c>
      <c r="D60" s="5" t="s">
        <v>779</v>
      </c>
      <c r="E60" s="6">
        <f t="shared" si="0"/>
        <v>2025</v>
      </c>
      <c r="F60" s="5" t="str">
        <f>INDEX('Data Mahasiswa'!$N$1:$Q$14, MATCH(MID('Data Status Pendaftar'!B60, 5,2), 'Data Mahasiswa'!$N$1:$N$14,0),2)</f>
        <v>Teknik</v>
      </c>
      <c r="G60" s="5" t="str" cm="1">
        <f t="array" ref="G60">INDEX('Data Mahasiswa'!$Q$2:$Q$14, MATCH(MID('Data Status Pendaftar'!B60,5,3), 'Data Mahasiswa'!$N$2:$N$14&amp;TEXT('Data Mahasiswa'!$P$2:$P$14,"0"), 0))</f>
        <v>Teknik Informatika</v>
      </c>
      <c r="H60" s="6">
        <f t="shared" ca="1" si="1"/>
        <v>2</v>
      </c>
      <c r="I60" s="7">
        <f>INDEX('Data Mahasiswa'!$A$1:$J$701, MATCH('Data Status Pendaftar'!B60, 'Data Mahasiswa'!$A$1:$A$701, 0), 10)</f>
        <v>3.4791666666666665</v>
      </c>
      <c r="J60" s="5" t="str" cm="1">
        <f t="array" ref="J60">INDEX('Data Mahasiswa'!B60:I60,MATCH(MIN(VLOOKUP('Data Mahasiswa'!B60:I60,'Data Mahasiswa'!$N$27:$O$36,2,0)),VLOOKUP('Data Mahasiswa'!B60:I60,'Data Mahasiswa'!$N$27:$O$36,2,0),0))</f>
        <v>C+</v>
      </c>
      <c r="K60" s="5" t="str">
        <f t="shared" si="2"/>
        <v>Eligible</v>
      </c>
    </row>
    <row r="61" spans="1:11" x14ac:dyDescent="0.3">
      <c r="A61" s="8">
        <v>60</v>
      </c>
      <c r="B61" s="8" t="s">
        <v>111</v>
      </c>
      <c r="C61" s="8" t="s">
        <v>838</v>
      </c>
      <c r="D61" s="8" t="s">
        <v>780</v>
      </c>
      <c r="E61" s="9">
        <f t="shared" si="0"/>
        <v>2025</v>
      </c>
      <c r="F61" s="8" t="str">
        <f>INDEX('Data Mahasiswa'!$N$1:$Q$14, MATCH(MID('Data Status Pendaftar'!B61, 5,2), 'Data Mahasiswa'!$N$1:$N$14,0),2)</f>
        <v>Teknik</v>
      </c>
      <c r="G61" s="8" t="str" cm="1">
        <f t="array" ref="G61">INDEX('Data Mahasiswa'!$Q$2:$Q$14, MATCH(MID('Data Status Pendaftar'!B61,5,3), 'Data Mahasiswa'!$N$2:$N$14&amp;TEXT('Data Mahasiswa'!$P$2:$P$14,"0"), 0))</f>
        <v>Teknik Informatika</v>
      </c>
      <c r="H61" s="9">
        <f t="shared" ca="1" si="1"/>
        <v>2</v>
      </c>
      <c r="I61" s="10">
        <f>INDEX('Data Mahasiswa'!$A$1:$J$701, MATCH('Data Status Pendaftar'!B61, 'Data Mahasiswa'!$A$1:$A$701, 0), 10)</f>
        <v>3.0208333333333335</v>
      </c>
      <c r="J61" s="8" t="str" cm="1">
        <f t="array" ref="J61">INDEX('Data Mahasiswa'!B61:I61,MATCH(MIN(VLOOKUP('Data Mahasiswa'!B61:I61,'Data Mahasiswa'!$N$27:$O$36,2,0)),VLOOKUP('Data Mahasiswa'!B61:I61,'Data Mahasiswa'!$N$27:$O$36,2,0),0))</f>
        <v>C+</v>
      </c>
      <c r="K61" s="8" t="str">
        <f t="shared" si="2"/>
        <v>Eligible</v>
      </c>
    </row>
    <row r="62" spans="1:11" x14ac:dyDescent="0.3">
      <c r="A62" s="5">
        <v>61</v>
      </c>
      <c r="B62" s="5" t="s">
        <v>112</v>
      </c>
      <c r="C62" s="5" t="s">
        <v>839</v>
      </c>
      <c r="D62" s="5" t="s">
        <v>780</v>
      </c>
      <c r="E62" s="6">
        <f t="shared" si="0"/>
        <v>2025</v>
      </c>
      <c r="F62" s="5" t="str">
        <f>INDEX('Data Mahasiswa'!$N$1:$Q$14, MATCH(MID('Data Status Pendaftar'!B62, 5,2), 'Data Mahasiswa'!$N$1:$N$14,0),2)</f>
        <v>Teknik</v>
      </c>
      <c r="G62" s="5" t="str" cm="1">
        <f t="array" ref="G62">INDEX('Data Mahasiswa'!$Q$2:$Q$14, MATCH(MID('Data Status Pendaftar'!B62,5,3), 'Data Mahasiswa'!$N$2:$N$14&amp;TEXT('Data Mahasiswa'!$P$2:$P$14,"0"), 0))</f>
        <v>Teknik Informatika</v>
      </c>
      <c r="H62" s="6">
        <f t="shared" ca="1" si="1"/>
        <v>2</v>
      </c>
      <c r="I62" s="7">
        <f>INDEX('Data Mahasiswa'!$A$1:$J$701, MATCH('Data Status Pendaftar'!B62, 'Data Mahasiswa'!$A$1:$A$701, 0), 10)</f>
        <v>3.4375</v>
      </c>
      <c r="J62" s="5" t="str" cm="1">
        <f t="array" ref="J62">INDEX('Data Mahasiswa'!B62:I62,MATCH(MIN(VLOOKUP('Data Mahasiswa'!B62:I62,'Data Mahasiswa'!$N$27:$O$36,2,0)),VLOOKUP('Data Mahasiswa'!B62:I62,'Data Mahasiswa'!$N$27:$O$36,2,0),0))</f>
        <v>B-</v>
      </c>
      <c r="K62" s="5" t="str">
        <f t="shared" si="2"/>
        <v>Eligible</v>
      </c>
    </row>
    <row r="63" spans="1:11" x14ac:dyDescent="0.3">
      <c r="A63" s="8">
        <v>62</v>
      </c>
      <c r="B63" s="8" t="s">
        <v>113</v>
      </c>
      <c r="C63" s="8" t="s">
        <v>840</v>
      </c>
      <c r="D63" s="8" t="s">
        <v>779</v>
      </c>
      <c r="E63" s="9">
        <f t="shared" si="0"/>
        <v>2025</v>
      </c>
      <c r="F63" s="8" t="str">
        <f>INDEX('Data Mahasiswa'!$N$1:$Q$14, MATCH(MID('Data Status Pendaftar'!B63, 5,2), 'Data Mahasiswa'!$N$1:$N$14,0),2)</f>
        <v>Teknik</v>
      </c>
      <c r="G63" s="8" t="str" cm="1">
        <f t="array" ref="G63">INDEX('Data Mahasiswa'!$Q$2:$Q$14, MATCH(MID('Data Status Pendaftar'!B63,5,3), 'Data Mahasiswa'!$N$2:$N$14&amp;TEXT('Data Mahasiswa'!$P$2:$P$14,"0"), 0))</f>
        <v>Teknik Informatika</v>
      </c>
      <c r="H63" s="9">
        <f t="shared" ca="1" si="1"/>
        <v>2</v>
      </c>
      <c r="I63" s="10">
        <f>INDEX('Data Mahasiswa'!$A$1:$J$701, MATCH('Data Status Pendaftar'!B63, 'Data Mahasiswa'!$A$1:$A$701, 0), 10)</f>
        <v>2.4375</v>
      </c>
      <c r="J63" s="8" t="str" cm="1">
        <f t="array" ref="J63">INDEX('Data Mahasiswa'!B63:I63,MATCH(MIN(VLOOKUP('Data Mahasiswa'!B63:I63,'Data Mahasiswa'!$N$27:$O$36,2,0)),VLOOKUP('Data Mahasiswa'!B63:I63,'Data Mahasiswa'!$N$27:$O$36,2,0),0))</f>
        <v>E</v>
      </c>
      <c r="K63" s="8" t="str">
        <f t="shared" si="2"/>
        <v>Tidak Eligible</v>
      </c>
    </row>
    <row r="64" spans="1:11" x14ac:dyDescent="0.3">
      <c r="A64" s="5">
        <v>63</v>
      </c>
      <c r="B64" s="5" t="s">
        <v>114</v>
      </c>
      <c r="C64" s="5" t="s">
        <v>841</v>
      </c>
      <c r="D64" s="5" t="s">
        <v>779</v>
      </c>
      <c r="E64" s="6">
        <f t="shared" si="0"/>
        <v>2025</v>
      </c>
      <c r="F64" s="5" t="str">
        <f>INDEX('Data Mahasiswa'!$N$1:$Q$14, MATCH(MID('Data Status Pendaftar'!B64, 5,2), 'Data Mahasiswa'!$N$1:$N$14,0),2)</f>
        <v>Teknik</v>
      </c>
      <c r="G64" s="5" t="str" cm="1">
        <f t="array" ref="G64">INDEX('Data Mahasiswa'!$Q$2:$Q$14, MATCH(MID('Data Status Pendaftar'!B64,5,3), 'Data Mahasiswa'!$N$2:$N$14&amp;TEXT('Data Mahasiswa'!$P$2:$P$14,"0"), 0))</f>
        <v>Teknik Informatika</v>
      </c>
      <c r="H64" s="6">
        <f t="shared" ca="1" si="1"/>
        <v>2</v>
      </c>
      <c r="I64" s="7">
        <f>INDEX('Data Mahasiswa'!$A$1:$J$701, MATCH('Data Status Pendaftar'!B64, 'Data Mahasiswa'!$A$1:$A$701, 0), 10)</f>
        <v>3.4895833333333335</v>
      </c>
      <c r="J64" s="5" t="str" cm="1">
        <f t="array" ref="J64">INDEX('Data Mahasiswa'!B64:I64,MATCH(MIN(VLOOKUP('Data Mahasiswa'!B64:I64,'Data Mahasiswa'!$N$27:$O$36,2,0)),VLOOKUP('Data Mahasiswa'!B64:I64,'Data Mahasiswa'!$N$27:$O$36,2,0),0))</f>
        <v>B-</v>
      </c>
      <c r="K64" s="5" t="str">
        <f t="shared" si="2"/>
        <v>Eligible</v>
      </c>
    </row>
    <row r="65" spans="1:11" x14ac:dyDescent="0.3">
      <c r="A65" s="8">
        <v>64</v>
      </c>
      <c r="B65" s="8" t="s">
        <v>115</v>
      </c>
      <c r="C65" s="8" t="s">
        <v>842</v>
      </c>
      <c r="D65" s="8" t="s">
        <v>780</v>
      </c>
      <c r="E65" s="9">
        <f t="shared" si="0"/>
        <v>2025</v>
      </c>
      <c r="F65" s="8" t="str">
        <f>INDEX('Data Mahasiswa'!$N$1:$Q$14, MATCH(MID('Data Status Pendaftar'!B65, 5,2), 'Data Mahasiswa'!$N$1:$N$14,0),2)</f>
        <v>Teknik</v>
      </c>
      <c r="G65" s="8" t="str" cm="1">
        <f t="array" ref="G65">INDEX('Data Mahasiswa'!$Q$2:$Q$14, MATCH(MID('Data Status Pendaftar'!B65,5,3), 'Data Mahasiswa'!$N$2:$N$14&amp;TEXT('Data Mahasiswa'!$P$2:$P$14,"0"), 0))</f>
        <v>Teknik Informatika</v>
      </c>
      <c r="H65" s="9">
        <f t="shared" ca="1" si="1"/>
        <v>2</v>
      </c>
      <c r="I65" s="10">
        <f>INDEX('Data Mahasiswa'!$A$1:$J$701, MATCH('Data Status Pendaftar'!B65, 'Data Mahasiswa'!$A$1:$A$701, 0), 10)</f>
        <v>3.28125</v>
      </c>
      <c r="J65" s="8" t="str" cm="1">
        <f t="array" ref="J65">INDEX('Data Mahasiswa'!B65:I65,MATCH(MIN(VLOOKUP('Data Mahasiswa'!B65:I65,'Data Mahasiswa'!$N$27:$O$36,2,0)),VLOOKUP('Data Mahasiswa'!B65:I65,'Data Mahasiswa'!$N$27:$O$36,2,0),0))</f>
        <v>B-</v>
      </c>
      <c r="K65" s="8" t="str">
        <f t="shared" si="2"/>
        <v>Eligible</v>
      </c>
    </row>
    <row r="66" spans="1:11" x14ac:dyDescent="0.3">
      <c r="A66" s="5">
        <v>65</v>
      </c>
      <c r="B66" s="5" t="s">
        <v>116</v>
      </c>
      <c r="C66" s="5" t="s">
        <v>843</v>
      </c>
      <c r="D66" s="5" t="s">
        <v>780</v>
      </c>
      <c r="E66" s="6">
        <f t="shared" si="0"/>
        <v>2025</v>
      </c>
      <c r="F66" s="5" t="str">
        <f>INDEX('Data Mahasiswa'!$N$1:$Q$14, MATCH(MID('Data Status Pendaftar'!B66, 5,2), 'Data Mahasiswa'!$N$1:$N$14,0),2)</f>
        <v>Teknik</v>
      </c>
      <c r="G66" s="5" t="str" cm="1">
        <f t="array" ref="G66">INDEX('Data Mahasiswa'!$Q$2:$Q$14, MATCH(MID('Data Status Pendaftar'!B66,5,3), 'Data Mahasiswa'!$N$2:$N$14&amp;TEXT('Data Mahasiswa'!$P$2:$P$14,"0"), 0))</f>
        <v>Teknik Informatika</v>
      </c>
      <c r="H66" s="6">
        <f t="shared" ca="1" si="1"/>
        <v>2</v>
      </c>
      <c r="I66" s="7">
        <f>INDEX('Data Mahasiswa'!$A$1:$J$701, MATCH('Data Status Pendaftar'!B66, 'Data Mahasiswa'!$A$1:$A$701, 0), 10)</f>
        <v>2.8854166666666665</v>
      </c>
      <c r="J66" s="5" t="str" cm="1">
        <f t="array" ref="J66">INDEX('Data Mahasiswa'!B66:I66,MATCH(MIN(VLOOKUP('Data Mahasiswa'!B66:I66,'Data Mahasiswa'!$N$27:$O$36,2,0)),VLOOKUP('Data Mahasiswa'!B66:I66,'Data Mahasiswa'!$N$27:$O$36,2,0),0))</f>
        <v>E</v>
      </c>
      <c r="K66" s="5" t="str">
        <f t="shared" si="2"/>
        <v>Tidak Eligible</v>
      </c>
    </row>
    <row r="67" spans="1:11" x14ac:dyDescent="0.3">
      <c r="A67" s="8">
        <v>66</v>
      </c>
      <c r="B67" s="8" t="s">
        <v>117</v>
      </c>
      <c r="C67" s="8" t="s">
        <v>844</v>
      </c>
      <c r="D67" s="8" t="s">
        <v>780</v>
      </c>
      <c r="E67" s="9">
        <f t="shared" ref="E67:E130" si="3">LEFT(B67,2)+2000</f>
        <v>2025</v>
      </c>
      <c r="F67" s="8" t="str">
        <f>INDEX('Data Mahasiswa'!$N$1:$Q$14, MATCH(MID('Data Status Pendaftar'!B67, 5,2), 'Data Mahasiswa'!$N$1:$N$14,0),2)</f>
        <v>Teknik</v>
      </c>
      <c r="G67" s="8" t="str" cm="1">
        <f t="array" ref="G67">INDEX('Data Mahasiswa'!$Q$2:$Q$14, MATCH(MID('Data Status Pendaftar'!B67,5,3), 'Data Mahasiswa'!$N$2:$N$14&amp;TEXT('Data Mahasiswa'!$P$2:$P$14,"0"), 0))</f>
        <v>Teknik Informatika</v>
      </c>
      <c r="H67" s="9">
        <f t="shared" ref="H67:H130" ca="1" si="4">(YEAR(TODAY())-E67)*2</f>
        <v>2</v>
      </c>
      <c r="I67" s="10">
        <f>INDEX('Data Mahasiswa'!$A$1:$J$701, MATCH('Data Status Pendaftar'!B67, 'Data Mahasiswa'!$A$1:$A$701, 0), 10)</f>
        <v>2.7083333333333335</v>
      </c>
      <c r="J67" s="8" t="str" cm="1">
        <f t="array" ref="J67">INDEX('Data Mahasiswa'!B67:I67,MATCH(MIN(VLOOKUP('Data Mahasiswa'!B67:I67,'Data Mahasiswa'!$N$27:$O$36,2,0)),VLOOKUP('Data Mahasiswa'!B67:I67,'Data Mahasiswa'!$N$27:$O$36,2,0),0))</f>
        <v>D</v>
      </c>
      <c r="K67" s="8" t="str">
        <f t="shared" ref="K67:K130" si="5">IF(AND(E67=2025,I67&gt;=2.75,OR(J67="A",J67="A-",J67="B+",J67="B",J67="B-",J67="C+",J67="C",J67="C-")),"Eligible","Tidak Eligible")</f>
        <v>Tidak Eligible</v>
      </c>
    </row>
    <row r="68" spans="1:11" x14ac:dyDescent="0.3">
      <c r="A68" s="5">
        <v>67</v>
      </c>
      <c r="B68" s="5" t="s">
        <v>118</v>
      </c>
      <c r="C68" s="5" t="s">
        <v>845</v>
      </c>
      <c r="D68" s="5" t="s">
        <v>780</v>
      </c>
      <c r="E68" s="6">
        <f t="shared" si="3"/>
        <v>2025</v>
      </c>
      <c r="F68" s="5" t="str">
        <f>INDEX('Data Mahasiswa'!$N$1:$Q$14, MATCH(MID('Data Status Pendaftar'!B68, 5,2), 'Data Mahasiswa'!$N$1:$N$14,0),2)</f>
        <v>Teknik</v>
      </c>
      <c r="G68" s="5" t="str" cm="1">
        <f t="array" ref="G68">INDEX('Data Mahasiswa'!$Q$2:$Q$14, MATCH(MID('Data Status Pendaftar'!B68,5,3), 'Data Mahasiswa'!$N$2:$N$14&amp;TEXT('Data Mahasiswa'!$P$2:$P$14,"0"), 0))</f>
        <v>Teknik Informatika</v>
      </c>
      <c r="H68" s="6">
        <f t="shared" ca="1" si="4"/>
        <v>2</v>
      </c>
      <c r="I68" s="7">
        <f>INDEX('Data Mahasiswa'!$A$1:$J$701, MATCH('Data Status Pendaftar'!B68, 'Data Mahasiswa'!$A$1:$A$701, 0), 10)</f>
        <v>2.9166666666666665</v>
      </c>
      <c r="J68" s="5" t="str" cm="1">
        <f t="array" ref="J68">INDEX('Data Mahasiswa'!B68:I68,MATCH(MIN(VLOOKUP('Data Mahasiswa'!B68:I68,'Data Mahasiswa'!$N$27:$O$36,2,0)),VLOOKUP('Data Mahasiswa'!B68:I68,'Data Mahasiswa'!$N$27:$O$36,2,0),0))</f>
        <v>D</v>
      </c>
      <c r="K68" s="5" t="str">
        <f t="shared" si="5"/>
        <v>Tidak Eligible</v>
      </c>
    </row>
    <row r="69" spans="1:11" x14ac:dyDescent="0.3">
      <c r="A69" s="8">
        <v>68</v>
      </c>
      <c r="B69" s="8" t="s">
        <v>119</v>
      </c>
      <c r="C69" s="8" t="s">
        <v>846</v>
      </c>
      <c r="D69" s="8" t="s">
        <v>780</v>
      </c>
      <c r="E69" s="9">
        <f t="shared" si="3"/>
        <v>2025</v>
      </c>
      <c r="F69" s="8" t="str">
        <f>INDEX('Data Mahasiswa'!$N$1:$Q$14, MATCH(MID('Data Status Pendaftar'!B69, 5,2), 'Data Mahasiswa'!$N$1:$N$14,0),2)</f>
        <v>Teknik</v>
      </c>
      <c r="G69" s="8" t="str" cm="1">
        <f t="array" ref="G69">INDEX('Data Mahasiswa'!$Q$2:$Q$14, MATCH(MID('Data Status Pendaftar'!B69,5,3), 'Data Mahasiswa'!$N$2:$N$14&amp;TEXT('Data Mahasiswa'!$P$2:$P$14,"0"), 0))</f>
        <v>Teknik Informatika</v>
      </c>
      <c r="H69" s="9">
        <f t="shared" ca="1" si="4"/>
        <v>2</v>
      </c>
      <c r="I69" s="10">
        <f>INDEX('Data Mahasiswa'!$A$1:$J$701, MATCH('Data Status Pendaftar'!B69, 'Data Mahasiswa'!$A$1:$A$701, 0), 10)</f>
        <v>3.25</v>
      </c>
      <c r="J69" s="8" t="str" cm="1">
        <f t="array" ref="J69">INDEX('Data Mahasiswa'!B69:I69,MATCH(MIN(VLOOKUP('Data Mahasiswa'!B69:I69,'Data Mahasiswa'!$N$27:$O$36,2,0)),VLOOKUP('Data Mahasiswa'!B69:I69,'Data Mahasiswa'!$N$27:$O$36,2,0),0))</f>
        <v>C</v>
      </c>
      <c r="K69" s="8" t="str">
        <f t="shared" si="5"/>
        <v>Eligible</v>
      </c>
    </row>
    <row r="70" spans="1:11" x14ac:dyDescent="0.3">
      <c r="A70" s="5">
        <v>69</v>
      </c>
      <c r="B70" s="5" t="s">
        <v>120</v>
      </c>
      <c r="C70" s="5" t="s">
        <v>847</v>
      </c>
      <c r="D70" s="5" t="s">
        <v>779</v>
      </c>
      <c r="E70" s="6">
        <f t="shared" si="3"/>
        <v>2025</v>
      </c>
      <c r="F70" s="5" t="str">
        <f>INDEX('Data Mahasiswa'!$N$1:$Q$14, MATCH(MID('Data Status Pendaftar'!B70, 5,2), 'Data Mahasiswa'!$N$1:$N$14,0),2)</f>
        <v>Teknik</v>
      </c>
      <c r="G70" s="5" t="str" cm="1">
        <f t="array" ref="G70">INDEX('Data Mahasiswa'!$Q$2:$Q$14, MATCH(MID('Data Status Pendaftar'!B70,5,3), 'Data Mahasiswa'!$N$2:$N$14&amp;TEXT('Data Mahasiswa'!$P$2:$P$14,"0"), 0))</f>
        <v>Teknik Informatika</v>
      </c>
      <c r="H70" s="6">
        <f t="shared" ca="1" si="4"/>
        <v>2</v>
      </c>
      <c r="I70" s="7">
        <f>INDEX('Data Mahasiswa'!$A$1:$J$701, MATCH('Data Status Pendaftar'!B70, 'Data Mahasiswa'!$A$1:$A$701, 0), 10)</f>
        <v>3.375</v>
      </c>
      <c r="J70" s="5" t="str" cm="1">
        <f t="array" ref="J70">INDEX('Data Mahasiswa'!B70:I70,MATCH(MIN(VLOOKUP('Data Mahasiswa'!B70:I70,'Data Mahasiswa'!$N$27:$O$36,2,0)),VLOOKUP('Data Mahasiswa'!B70:I70,'Data Mahasiswa'!$N$27:$O$36,2,0),0))</f>
        <v>C+</v>
      </c>
      <c r="K70" s="5" t="str">
        <f t="shared" si="5"/>
        <v>Eligible</v>
      </c>
    </row>
    <row r="71" spans="1:11" x14ac:dyDescent="0.3">
      <c r="A71" s="8">
        <v>70</v>
      </c>
      <c r="B71" s="8" t="s">
        <v>121</v>
      </c>
      <c r="C71" s="8" t="s">
        <v>848</v>
      </c>
      <c r="D71" s="8" t="s">
        <v>779</v>
      </c>
      <c r="E71" s="9">
        <f t="shared" si="3"/>
        <v>2025</v>
      </c>
      <c r="F71" s="8" t="str">
        <f>INDEX('Data Mahasiswa'!$N$1:$Q$14, MATCH(MID('Data Status Pendaftar'!B71, 5,2), 'Data Mahasiswa'!$N$1:$N$14,0),2)</f>
        <v>Teknik</v>
      </c>
      <c r="G71" s="8" t="str" cm="1">
        <f t="array" ref="G71">INDEX('Data Mahasiswa'!$Q$2:$Q$14, MATCH(MID('Data Status Pendaftar'!B71,5,3), 'Data Mahasiswa'!$N$2:$N$14&amp;TEXT('Data Mahasiswa'!$P$2:$P$14,"0"), 0))</f>
        <v>Teknik Informatika</v>
      </c>
      <c r="H71" s="9">
        <f t="shared" ca="1" si="4"/>
        <v>2</v>
      </c>
      <c r="I71" s="10">
        <f>INDEX('Data Mahasiswa'!$A$1:$J$701, MATCH('Data Status Pendaftar'!B71, 'Data Mahasiswa'!$A$1:$A$701, 0), 10)</f>
        <v>2.5104166666666665</v>
      </c>
      <c r="J71" s="8" t="str" cm="1">
        <f t="array" ref="J71">INDEX('Data Mahasiswa'!B71:I71,MATCH(MIN(VLOOKUP('Data Mahasiswa'!B71:I71,'Data Mahasiswa'!$N$27:$O$36,2,0)),VLOOKUP('Data Mahasiswa'!B71:I71,'Data Mahasiswa'!$N$27:$O$36,2,0),0))</f>
        <v>E</v>
      </c>
      <c r="K71" s="8" t="str">
        <f t="shared" si="5"/>
        <v>Tidak Eligible</v>
      </c>
    </row>
    <row r="72" spans="1:11" x14ac:dyDescent="0.3">
      <c r="A72" s="5">
        <v>71</v>
      </c>
      <c r="B72" s="5" t="s">
        <v>122</v>
      </c>
      <c r="C72" s="5" t="s">
        <v>849</v>
      </c>
      <c r="D72" s="5" t="s">
        <v>780</v>
      </c>
      <c r="E72" s="6">
        <f t="shared" si="3"/>
        <v>2025</v>
      </c>
      <c r="F72" s="5" t="str">
        <f>INDEX('Data Mahasiswa'!$N$1:$Q$14, MATCH(MID('Data Status Pendaftar'!B72, 5,2), 'Data Mahasiswa'!$N$1:$N$14,0),2)</f>
        <v>Teknik</v>
      </c>
      <c r="G72" s="5" t="str" cm="1">
        <f t="array" ref="G72">INDEX('Data Mahasiswa'!$Q$2:$Q$14, MATCH(MID('Data Status Pendaftar'!B72,5,3), 'Data Mahasiswa'!$N$2:$N$14&amp;TEXT('Data Mahasiswa'!$P$2:$P$14,"0"), 0))</f>
        <v>Teknik Informatika</v>
      </c>
      <c r="H72" s="6">
        <f t="shared" ca="1" si="4"/>
        <v>2</v>
      </c>
      <c r="I72" s="7">
        <f>INDEX('Data Mahasiswa'!$A$1:$J$701, MATCH('Data Status Pendaftar'!B72, 'Data Mahasiswa'!$A$1:$A$701, 0), 10)</f>
        <v>3.15625</v>
      </c>
      <c r="J72" s="5" t="str" cm="1">
        <f t="array" ref="J72">INDEX('Data Mahasiswa'!B72:I72,MATCH(MIN(VLOOKUP('Data Mahasiswa'!B72:I72,'Data Mahasiswa'!$N$27:$O$36,2,0)),VLOOKUP('Data Mahasiswa'!B72:I72,'Data Mahasiswa'!$N$27:$O$36,2,0),0))</f>
        <v>D</v>
      </c>
      <c r="K72" s="5" t="str">
        <f t="shared" si="5"/>
        <v>Tidak Eligible</v>
      </c>
    </row>
    <row r="73" spans="1:11" x14ac:dyDescent="0.3">
      <c r="A73" s="8">
        <v>72</v>
      </c>
      <c r="B73" s="8" t="s">
        <v>123</v>
      </c>
      <c r="C73" s="8" t="s">
        <v>850</v>
      </c>
      <c r="D73" s="8" t="s">
        <v>780</v>
      </c>
      <c r="E73" s="9">
        <f t="shared" si="3"/>
        <v>2025</v>
      </c>
      <c r="F73" s="8" t="str">
        <f>INDEX('Data Mahasiswa'!$N$1:$Q$14, MATCH(MID('Data Status Pendaftar'!B73, 5,2), 'Data Mahasiswa'!$N$1:$N$14,0),2)</f>
        <v>Teknik</v>
      </c>
      <c r="G73" s="8" t="str" cm="1">
        <f t="array" ref="G73">INDEX('Data Mahasiswa'!$Q$2:$Q$14, MATCH(MID('Data Status Pendaftar'!B73,5,3), 'Data Mahasiswa'!$N$2:$N$14&amp;TEXT('Data Mahasiswa'!$P$2:$P$14,"0"), 0))</f>
        <v>Teknik Informatika</v>
      </c>
      <c r="H73" s="9">
        <f t="shared" ca="1" si="4"/>
        <v>2</v>
      </c>
      <c r="I73" s="10">
        <f>INDEX('Data Mahasiswa'!$A$1:$J$701, MATCH('Data Status Pendaftar'!B73, 'Data Mahasiswa'!$A$1:$A$701, 0), 10)</f>
        <v>3.0104166666666665</v>
      </c>
      <c r="J73" s="8" t="str" cm="1">
        <f t="array" ref="J73">INDEX('Data Mahasiswa'!B73:I73,MATCH(MIN(VLOOKUP('Data Mahasiswa'!B73:I73,'Data Mahasiswa'!$N$27:$O$36,2,0)),VLOOKUP('Data Mahasiswa'!B73:I73,'Data Mahasiswa'!$N$27:$O$36,2,0),0))</f>
        <v>D</v>
      </c>
      <c r="K73" s="8" t="str">
        <f t="shared" si="5"/>
        <v>Tidak Eligible</v>
      </c>
    </row>
    <row r="74" spans="1:11" x14ac:dyDescent="0.3">
      <c r="A74" s="5">
        <v>73</v>
      </c>
      <c r="B74" s="5" t="s">
        <v>124</v>
      </c>
      <c r="C74" s="5" t="s">
        <v>851</v>
      </c>
      <c r="D74" s="5" t="s">
        <v>780</v>
      </c>
      <c r="E74" s="6">
        <f t="shared" si="3"/>
        <v>2025</v>
      </c>
      <c r="F74" s="5" t="str">
        <f>INDEX('Data Mahasiswa'!$N$1:$Q$14, MATCH(MID('Data Status Pendaftar'!B74, 5,2), 'Data Mahasiswa'!$N$1:$N$14,0),2)</f>
        <v>Teknik</v>
      </c>
      <c r="G74" s="5" t="str" cm="1">
        <f t="array" ref="G74">INDEX('Data Mahasiswa'!$Q$2:$Q$14, MATCH(MID('Data Status Pendaftar'!B74,5,3), 'Data Mahasiswa'!$N$2:$N$14&amp;TEXT('Data Mahasiswa'!$P$2:$P$14,"0"), 0))</f>
        <v>Teknik Informatika</v>
      </c>
      <c r="H74" s="6">
        <f t="shared" ca="1" si="4"/>
        <v>2</v>
      </c>
      <c r="I74" s="7">
        <f>INDEX('Data Mahasiswa'!$A$1:$J$701, MATCH('Data Status Pendaftar'!B74, 'Data Mahasiswa'!$A$1:$A$701, 0), 10)</f>
        <v>2.65625</v>
      </c>
      <c r="J74" s="5" t="str" cm="1">
        <f t="array" ref="J74">INDEX('Data Mahasiswa'!B74:I74,MATCH(MIN(VLOOKUP('Data Mahasiswa'!B74:I74,'Data Mahasiswa'!$N$27:$O$36,2,0)),VLOOKUP('Data Mahasiswa'!B74:I74,'Data Mahasiswa'!$N$27:$O$36,2,0),0))</f>
        <v>D</v>
      </c>
      <c r="K74" s="5" t="str">
        <f t="shared" si="5"/>
        <v>Tidak Eligible</v>
      </c>
    </row>
    <row r="75" spans="1:11" x14ac:dyDescent="0.3">
      <c r="A75" s="8">
        <v>74</v>
      </c>
      <c r="B75" s="8" t="s">
        <v>125</v>
      </c>
      <c r="C75" s="8" t="s">
        <v>852</v>
      </c>
      <c r="D75" s="8" t="s">
        <v>780</v>
      </c>
      <c r="E75" s="9">
        <f t="shared" si="3"/>
        <v>2025</v>
      </c>
      <c r="F75" s="8" t="str">
        <f>INDEX('Data Mahasiswa'!$N$1:$Q$14, MATCH(MID('Data Status Pendaftar'!B75, 5,2), 'Data Mahasiswa'!$N$1:$N$14,0),2)</f>
        <v>Teknik</v>
      </c>
      <c r="G75" s="8" t="str" cm="1">
        <f t="array" ref="G75">INDEX('Data Mahasiswa'!$Q$2:$Q$14, MATCH(MID('Data Status Pendaftar'!B75,5,3), 'Data Mahasiswa'!$N$2:$N$14&amp;TEXT('Data Mahasiswa'!$P$2:$P$14,"0"), 0))</f>
        <v>Teknik Informatika</v>
      </c>
      <c r="H75" s="9">
        <f t="shared" ca="1" si="4"/>
        <v>2</v>
      </c>
      <c r="I75" s="10">
        <f>INDEX('Data Mahasiswa'!$A$1:$J$701, MATCH('Data Status Pendaftar'!B75, 'Data Mahasiswa'!$A$1:$A$701, 0), 10)</f>
        <v>3.1458333333333335</v>
      </c>
      <c r="J75" s="8" t="str" cm="1">
        <f t="array" ref="J75">INDEX('Data Mahasiswa'!B75:I75,MATCH(MIN(VLOOKUP('Data Mahasiswa'!B75:I75,'Data Mahasiswa'!$N$27:$O$36,2,0)),VLOOKUP('Data Mahasiswa'!B75:I75,'Data Mahasiswa'!$N$27:$O$36,2,0),0))</f>
        <v>C</v>
      </c>
      <c r="K75" s="8" t="str">
        <f t="shared" si="5"/>
        <v>Eligible</v>
      </c>
    </row>
    <row r="76" spans="1:11" x14ac:dyDescent="0.3">
      <c r="A76" s="5">
        <v>75</v>
      </c>
      <c r="B76" s="5" t="s">
        <v>126</v>
      </c>
      <c r="C76" s="5" t="s">
        <v>853</v>
      </c>
      <c r="D76" s="5" t="s">
        <v>779</v>
      </c>
      <c r="E76" s="6">
        <f t="shared" si="3"/>
        <v>2025</v>
      </c>
      <c r="F76" s="5" t="str">
        <f>INDEX('Data Mahasiswa'!$N$1:$Q$14, MATCH(MID('Data Status Pendaftar'!B76, 5,2), 'Data Mahasiswa'!$N$1:$N$14,0),2)</f>
        <v>Teknik</v>
      </c>
      <c r="G76" s="5" t="str" cm="1">
        <f t="array" ref="G76">INDEX('Data Mahasiswa'!$Q$2:$Q$14, MATCH(MID('Data Status Pendaftar'!B76,5,3), 'Data Mahasiswa'!$N$2:$N$14&amp;TEXT('Data Mahasiswa'!$P$2:$P$14,"0"), 0))</f>
        <v>Teknik Industri</v>
      </c>
      <c r="H76" s="6">
        <f t="shared" ca="1" si="4"/>
        <v>2</v>
      </c>
      <c r="I76" s="7">
        <f>INDEX('Data Mahasiswa'!$A$1:$J$701, MATCH('Data Status Pendaftar'!B76, 'Data Mahasiswa'!$A$1:$A$701, 0), 10)</f>
        <v>3.03125</v>
      </c>
      <c r="J76" s="5" t="str" cm="1">
        <f t="array" ref="J76">INDEX('Data Mahasiswa'!B76:I76,MATCH(MIN(VLOOKUP('Data Mahasiswa'!B76:I76,'Data Mahasiswa'!$N$27:$O$36,2,0)),VLOOKUP('Data Mahasiswa'!B76:I76,'Data Mahasiswa'!$N$27:$O$36,2,0),0))</f>
        <v>E</v>
      </c>
      <c r="K76" s="5" t="str">
        <f t="shared" si="5"/>
        <v>Tidak Eligible</v>
      </c>
    </row>
    <row r="77" spans="1:11" x14ac:dyDescent="0.3">
      <c r="A77" s="8">
        <v>76</v>
      </c>
      <c r="B77" s="8" t="s">
        <v>127</v>
      </c>
      <c r="C77" s="8" t="s">
        <v>854</v>
      </c>
      <c r="D77" s="8" t="s">
        <v>779</v>
      </c>
      <c r="E77" s="9">
        <f t="shared" si="3"/>
        <v>2025</v>
      </c>
      <c r="F77" s="8" t="str">
        <f>INDEX('Data Mahasiswa'!$N$1:$Q$14, MATCH(MID('Data Status Pendaftar'!B77, 5,2), 'Data Mahasiswa'!$N$1:$N$14,0),2)</f>
        <v>Teknik</v>
      </c>
      <c r="G77" s="8" t="str" cm="1">
        <f t="array" ref="G77">INDEX('Data Mahasiswa'!$Q$2:$Q$14, MATCH(MID('Data Status Pendaftar'!B77,5,3), 'Data Mahasiswa'!$N$2:$N$14&amp;TEXT('Data Mahasiswa'!$P$2:$P$14,"0"), 0))</f>
        <v>Teknik Industri</v>
      </c>
      <c r="H77" s="9">
        <f t="shared" ca="1" si="4"/>
        <v>2</v>
      </c>
      <c r="I77" s="10">
        <f>INDEX('Data Mahasiswa'!$A$1:$J$701, MATCH('Data Status Pendaftar'!B77, 'Data Mahasiswa'!$A$1:$A$701, 0), 10)</f>
        <v>2.625</v>
      </c>
      <c r="J77" s="8" t="str" cm="1">
        <f t="array" ref="J77">INDEX('Data Mahasiswa'!B77:I77,MATCH(MIN(VLOOKUP('Data Mahasiswa'!B77:I77,'Data Mahasiswa'!$N$27:$O$36,2,0)),VLOOKUP('Data Mahasiswa'!B77:I77,'Data Mahasiswa'!$N$27:$O$36,2,0),0))</f>
        <v>E</v>
      </c>
      <c r="K77" s="8" t="str">
        <f t="shared" si="5"/>
        <v>Tidak Eligible</v>
      </c>
    </row>
    <row r="78" spans="1:11" x14ac:dyDescent="0.3">
      <c r="A78" s="5">
        <v>77</v>
      </c>
      <c r="B78" s="5" t="s">
        <v>128</v>
      </c>
      <c r="C78" s="5" t="s">
        <v>855</v>
      </c>
      <c r="D78" s="5" t="s">
        <v>780</v>
      </c>
      <c r="E78" s="6">
        <f t="shared" si="3"/>
        <v>2025</v>
      </c>
      <c r="F78" s="5" t="str">
        <f>INDEX('Data Mahasiswa'!$N$1:$Q$14, MATCH(MID('Data Status Pendaftar'!B78, 5,2), 'Data Mahasiswa'!$N$1:$N$14,0),2)</f>
        <v>Teknik</v>
      </c>
      <c r="G78" s="5" t="str" cm="1">
        <f t="array" ref="G78">INDEX('Data Mahasiswa'!$Q$2:$Q$14, MATCH(MID('Data Status Pendaftar'!B78,5,3), 'Data Mahasiswa'!$N$2:$N$14&amp;TEXT('Data Mahasiswa'!$P$2:$P$14,"0"), 0))</f>
        <v>Teknik Industri</v>
      </c>
      <c r="H78" s="6">
        <f t="shared" ca="1" si="4"/>
        <v>2</v>
      </c>
      <c r="I78" s="7">
        <f>INDEX('Data Mahasiswa'!$A$1:$J$701, MATCH('Data Status Pendaftar'!B78, 'Data Mahasiswa'!$A$1:$A$701, 0), 10)</f>
        <v>3.78125</v>
      </c>
      <c r="J78" s="5" t="str" cm="1">
        <f t="array" ref="J78">INDEX('Data Mahasiswa'!B78:I78,MATCH(MIN(VLOOKUP('Data Mahasiswa'!B78:I78,'Data Mahasiswa'!$N$27:$O$36,2,0)),VLOOKUP('Data Mahasiswa'!B78:I78,'Data Mahasiswa'!$N$27:$O$36,2,0),0))</f>
        <v>B+</v>
      </c>
      <c r="K78" s="5" t="str">
        <f t="shared" si="5"/>
        <v>Eligible</v>
      </c>
    </row>
    <row r="79" spans="1:11" x14ac:dyDescent="0.3">
      <c r="A79" s="8">
        <v>78</v>
      </c>
      <c r="B79" s="8" t="s">
        <v>129</v>
      </c>
      <c r="C79" s="8" t="s">
        <v>856</v>
      </c>
      <c r="D79" s="8" t="s">
        <v>779</v>
      </c>
      <c r="E79" s="9">
        <f t="shared" si="3"/>
        <v>2025</v>
      </c>
      <c r="F79" s="8" t="str">
        <f>INDEX('Data Mahasiswa'!$N$1:$Q$14, MATCH(MID('Data Status Pendaftar'!B79, 5,2), 'Data Mahasiswa'!$N$1:$N$14,0),2)</f>
        <v>Teknik</v>
      </c>
      <c r="G79" s="8" t="str" cm="1">
        <f t="array" ref="G79">INDEX('Data Mahasiswa'!$Q$2:$Q$14, MATCH(MID('Data Status Pendaftar'!B79,5,3), 'Data Mahasiswa'!$N$2:$N$14&amp;TEXT('Data Mahasiswa'!$P$2:$P$14,"0"), 0))</f>
        <v>Teknik Industri</v>
      </c>
      <c r="H79" s="9">
        <f t="shared" ca="1" si="4"/>
        <v>2</v>
      </c>
      <c r="I79" s="10">
        <f>INDEX('Data Mahasiswa'!$A$1:$J$701, MATCH('Data Status Pendaftar'!B79, 'Data Mahasiswa'!$A$1:$A$701, 0), 10)</f>
        <v>3.0625</v>
      </c>
      <c r="J79" s="8" t="str" cm="1">
        <f t="array" ref="J79">INDEX('Data Mahasiswa'!B79:I79,MATCH(MIN(VLOOKUP('Data Mahasiswa'!B79:I79,'Data Mahasiswa'!$N$27:$O$36,2,0)),VLOOKUP('Data Mahasiswa'!B79:I79,'Data Mahasiswa'!$N$27:$O$36,2,0),0))</f>
        <v>C</v>
      </c>
      <c r="K79" s="8" t="str">
        <f t="shared" si="5"/>
        <v>Eligible</v>
      </c>
    </row>
    <row r="80" spans="1:11" x14ac:dyDescent="0.3">
      <c r="A80" s="5">
        <v>79</v>
      </c>
      <c r="B80" s="5" t="s">
        <v>130</v>
      </c>
      <c r="C80" s="5" t="s">
        <v>857</v>
      </c>
      <c r="D80" s="5" t="s">
        <v>779</v>
      </c>
      <c r="E80" s="6">
        <f t="shared" si="3"/>
        <v>2025</v>
      </c>
      <c r="F80" s="5" t="str">
        <f>INDEX('Data Mahasiswa'!$N$1:$Q$14, MATCH(MID('Data Status Pendaftar'!B80, 5,2), 'Data Mahasiswa'!$N$1:$N$14,0),2)</f>
        <v>Teknik</v>
      </c>
      <c r="G80" s="5" t="str" cm="1">
        <f t="array" ref="G80">INDEX('Data Mahasiswa'!$Q$2:$Q$14, MATCH(MID('Data Status Pendaftar'!B80,5,3), 'Data Mahasiswa'!$N$2:$N$14&amp;TEXT('Data Mahasiswa'!$P$2:$P$14,"0"), 0))</f>
        <v>Teknik Industri</v>
      </c>
      <c r="H80" s="6">
        <f t="shared" ca="1" si="4"/>
        <v>2</v>
      </c>
      <c r="I80" s="7">
        <f>INDEX('Data Mahasiswa'!$A$1:$J$701, MATCH('Data Status Pendaftar'!B80, 'Data Mahasiswa'!$A$1:$A$701, 0), 10)</f>
        <v>3.25</v>
      </c>
      <c r="J80" s="5" t="str" cm="1">
        <f t="array" ref="J80">INDEX('Data Mahasiswa'!B80:I80,MATCH(MIN(VLOOKUP('Data Mahasiswa'!B80:I80,'Data Mahasiswa'!$N$27:$O$36,2,0)),VLOOKUP('Data Mahasiswa'!B80:I80,'Data Mahasiswa'!$N$27:$O$36,2,0),0))</f>
        <v>D</v>
      </c>
      <c r="K80" s="5" t="str">
        <f t="shared" si="5"/>
        <v>Tidak Eligible</v>
      </c>
    </row>
    <row r="81" spans="1:11" x14ac:dyDescent="0.3">
      <c r="A81" s="8">
        <v>80</v>
      </c>
      <c r="B81" s="8" t="s">
        <v>131</v>
      </c>
      <c r="C81" s="8" t="s">
        <v>858</v>
      </c>
      <c r="D81" s="8" t="s">
        <v>780</v>
      </c>
      <c r="E81" s="9">
        <f t="shared" si="3"/>
        <v>2025</v>
      </c>
      <c r="F81" s="8" t="str">
        <f>INDEX('Data Mahasiswa'!$N$1:$Q$14, MATCH(MID('Data Status Pendaftar'!B81, 5,2), 'Data Mahasiswa'!$N$1:$N$14,0),2)</f>
        <v>Teknik</v>
      </c>
      <c r="G81" s="8" t="str" cm="1">
        <f t="array" ref="G81">INDEX('Data Mahasiswa'!$Q$2:$Q$14, MATCH(MID('Data Status Pendaftar'!B81,5,3), 'Data Mahasiswa'!$N$2:$N$14&amp;TEXT('Data Mahasiswa'!$P$2:$P$14,"0"), 0))</f>
        <v>Teknik Industri</v>
      </c>
      <c r="H81" s="9">
        <f t="shared" ca="1" si="4"/>
        <v>2</v>
      </c>
      <c r="I81" s="10">
        <f>INDEX('Data Mahasiswa'!$A$1:$J$701, MATCH('Data Status Pendaftar'!B81, 'Data Mahasiswa'!$A$1:$A$701, 0), 10)</f>
        <v>3.1875</v>
      </c>
      <c r="J81" s="8" t="str" cm="1">
        <f t="array" ref="J81">INDEX('Data Mahasiswa'!B81:I81,MATCH(MIN(VLOOKUP('Data Mahasiswa'!B81:I81,'Data Mahasiswa'!$N$27:$O$36,2,0)),VLOOKUP('Data Mahasiswa'!B81:I81,'Data Mahasiswa'!$N$27:$O$36,2,0),0))</f>
        <v>D</v>
      </c>
      <c r="K81" s="8" t="str">
        <f t="shared" si="5"/>
        <v>Tidak Eligible</v>
      </c>
    </row>
    <row r="82" spans="1:11" x14ac:dyDescent="0.3">
      <c r="A82" s="5">
        <v>81</v>
      </c>
      <c r="B82" s="5" t="s">
        <v>132</v>
      </c>
      <c r="C82" s="5" t="s">
        <v>859</v>
      </c>
      <c r="D82" s="5" t="s">
        <v>779</v>
      </c>
      <c r="E82" s="6">
        <f t="shared" si="3"/>
        <v>2025</v>
      </c>
      <c r="F82" s="5" t="str">
        <f>INDEX('Data Mahasiswa'!$N$1:$Q$14, MATCH(MID('Data Status Pendaftar'!B82, 5,2), 'Data Mahasiswa'!$N$1:$N$14,0),2)</f>
        <v>Teknik</v>
      </c>
      <c r="G82" s="5" t="str" cm="1">
        <f t="array" ref="G82">INDEX('Data Mahasiswa'!$Q$2:$Q$14, MATCH(MID('Data Status Pendaftar'!B82,5,3), 'Data Mahasiswa'!$N$2:$N$14&amp;TEXT('Data Mahasiswa'!$P$2:$P$14,"0"), 0))</f>
        <v>Teknik Industri</v>
      </c>
      <c r="H82" s="6">
        <f t="shared" ca="1" si="4"/>
        <v>2</v>
      </c>
      <c r="I82" s="7">
        <f>INDEX('Data Mahasiswa'!$A$1:$J$701, MATCH('Data Status Pendaftar'!B82, 'Data Mahasiswa'!$A$1:$A$701, 0), 10)</f>
        <v>3.0208333333333335</v>
      </c>
      <c r="J82" s="5" t="str" cm="1">
        <f t="array" ref="J82">INDEX('Data Mahasiswa'!B82:I82,MATCH(MIN(VLOOKUP('Data Mahasiswa'!B82:I82,'Data Mahasiswa'!$N$27:$O$36,2,0)),VLOOKUP('Data Mahasiswa'!B82:I82,'Data Mahasiswa'!$N$27:$O$36,2,0),0))</f>
        <v>C</v>
      </c>
      <c r="K82" s="5" t="str">
        <f t="shared" si="5"/>
        <v>Eligible</v>
      </c>
    </row>
    <row r="83" spans="1:11" x14ac:dyDescent="0.3">
      <c r="A83" s="8">
        <v>82</v>
      </c>
      <c r="B83" s="8" t="s">
        <v>133</v>
      </c>
      <c r="C83" s="8" t="s">
        <v>860</v>
      </c>
      <c r="D83" s="8" t="s">
        <v>779</v>
      </c>
      <c r="E83" s="9">
        <f t="shared" si="3"/>
        <v>2025</v>
      </c>
      <c r="F83" s="8" t="str">
        <f>INDEX('Data Mahasiswa'!$N$1:$Q$14, MATCH(MID('Data Status Pendaftar'!B83, 5,2), 'Data Mahasiswa'!$N$1:$N$14,0),2)</f>
        <v>Teknik</v>
      </c>
      <c r="G83" s="8" t="str" cm="1">
        <f t="array" ref="G83">INDEX('Data Mahasiswa'!$Q$2:$Q$14, MATCH(MID('Data Status Pendaftar'!B83,5,3), 'Data Mahasiswa'!$N$2:$N$14&amp;TEXT('Data Mahasiswa'!$P$2:$P$14,"0"), 0))</f>
        <v>Teknik Industri</v>
      </c>
      <c r="H83" s="9">
        <f t="shared" ca="1" si="4"/>
        <v>2</v>
      </c>
      <c r="I83" s="10">
        <f>INDEX('Data Mahasiswa'!$A$1:$J$701, MATCH('Data Status Pendaftar'!B83, 'Data Mahasiswa'!$A$1:$A$701, 0), 10)</f>
        <v>2.6979166666666665</v>
      </c>
      <c r="J83" s="8" t="str" cm="1">
        <f t="array" ref="J83">INDEX('Data Mahasiswa'!B83:I83,MATCH(MIN(VLOOKUP('Data Mahasiswa'!B83:I83,'Data Mahasiswa'!$N$27:$O$36,2,0)),VLOOKUP('Data Mahasiswa'!B83:I83,'Data Mahasiswa'!$N$27:$O$36,2,0),0))</f>
        <v>E</v>
      </c>
      <c r="K83" s="8" t="str">
        <f t="shared" si="5"/>
        <v>Tidak Eligible</v>
      </c>
    </row>
    <row r="84" spans="1:11" x14ac:dyDescent="0.3">
      <c r="A84" s="5">
        <v>83</v>
      </c>
      <c r="B84" s="5" t="s">
        <v>134</v>
      </c>
      <c r="C84" s="5" t="s">
        <v>861</v>
      </c>
      <c r="D84" s="5" t="s">
        <v>779</v>
      </c>
      <c r="E84" s="6">
        <f t="shared" si="3"/>
        <v>2025</v>
      </c>
      <c r="F84" s="5" t="str">
        <f>INDEX('Data Mahasiswa'!$N$1:$Q$14, MATCH(MID('Data Status Pendaftar'!B84, 5,2), 'Data Mahasiswa'!$N$1:$N$14,0),2)</f>
        <v>Teknik</v>
      </c>
      <c r="G84" s="5" t="str" cm="1">
        <f t="array" ref="G84">INDEX('Data Mahasiswa'!$Q$2:$Q$14, MATCH(MID('Data Status Pendaftar'!B84,5,3), 'Data Mahasiswa'!$N$2:$N$14&amp;TEXT('Data Mahasiswa'!$P$2:$P$14,"0"), 0))</f>
        <v>Teknik Industri</v>
      </c>
      <c r="H84" s="6">
        <f t="shared" ca="1" si="4"/>
        <v>2</v>
      </c>
      <c r="I84" s="7">
        <f>INDEX('Data Mahasiswa'!$A$1:$J$701, MATCH('Data Status Pendaftar'!B84, 'Data Mahasiswa'!$A$1:$A$701, 0), 10)</f>
        <v>2.5833333333333335</v>
      </c>
      <c r="J84" s="5" t="str" cm="1">
        <f t="array" ref="J84">INDEX('Data Mahasiswa'!B84:I84,MATCH(MIN(VLOOKUP('Data Mahasiswa'!B84:I84,'Data Mahasiswa'!$N$27:$O$36,2,0)),VLOOKUP('Data Mahasiswa'!B84:I84,'Data Mahasiswa'!$N$27:$O$36,2,0),0))</f>
        <v>D</v>
      </c>
      <c r="K84" s="5" t="str">
        <f t="shared" si="5"/>
        <v>Tidak Eligible</v>
      </c>
    </row>
    <row r="85" spans="1:11" x14ac:dyDescent="0.3">
      <c r="A85" s="8">
        <v>84</v>
      </c>
      <c r="B85" s="8" t="s">
        <v>135</v>
      </c>
      <c r="C85" s="8" t="s">
        <v>862</v>
      </c>
      <c r="D85" s="8" t="s">
        <v>780</v>
      </c>
      <c r="E85" s="9">
        <f t="shared" si="3"/>
        <v>2025</v>
      </c>
      <c r="F85" s="8" t="str">
        <f>INDEX('Data Mahasiswa'!$N$1:$Q$14, MATCH(MID('Data Status Pendaftar'!B85, 5,2), 'Data Mahasiswa'!$N$1:$N$14,0),2)</f>
        <v>Teknik</v>
      </c>
      <c r="G85" s="8" t="str" cm="1">
        <f t="array" ref="G85">INDEX('Data Mahasiswa'!$Q$2:$Q$14, MATCH(MID('Data Status Pendaftar'!B85,5,3), 'Data Mahasiswa'!$N$2:$N$14&amp;TEXT('Data Mahasiswa'!$P$2:$P$14,"0"), 0))</f>
        <v>Teknik Industri</v>
      </c>
      <c r="H85" s="9">
        <f t="shared" ca="1" si="4"/>
        <v>2</v>
      </c>
      <c r="I85" s="10">
        <f>INDEX('Data Mahasiswa'!$A$1:$J$701, MATCH('Data Status Pendaftar'!B85, 'Data Mahasiswa'!$A$1:$A$701, 0), 10)</f>
        <v>3.0729166666666665</v>
      </c>
      <c r="J85" s="8" t="str" cm="1">
        <f t="array" ref="J85">INDEX('Data Mahasiswa'!B85:I85,MATCH(MIN(VLOOKUP('Data Mahasiswa'!B85:I85,'Data Mahasiswa'!$N$27:$O$36,2,0)),VLOOKUP('Data Mahasiswa'!B85:I85,'Data Mahasiswa'!$N$27:$O$36,2,0),0))</f>
        <v>C</v>
      </c>
      <c r="K85" s="8" t="str">
        <f t="shared" si="5"/>
        <v>Eligible</v>
      </c>
    </row>
    <row r="86" spans="1:11" x14ac:dyDescent="0.3">
      <c r="A86" s="5">
        <v>85</v>
      </c>
      <c r="B86" s="5" t="s">
        <v>136</v>
      </c>
      <c r="C86" s="5" t="s">
        <v>863</v>
      </c>
      <c r="D86" s="5" t="s">
        <v>779</v>
      </c>
      <c r="E86" s="6">
        <f t="shared" si="3"/>
        <v>2025</v>
      </c>
      <c r="F86" s="5" t="str">
        <f>INDEX('Data Mahasiswa'!$N$1:$Q$14, MATCH(MID('Data Status Pendaftar'!B86, 5,2), 'Data Mahasiswa'!$N$1:$N$14,0),2)</f>
        <v>Teknik</v>
      </c>
      <c r="G86" s="5" t="str" cm="1">
        <f t="array" ref="G86">INDEX('Data Mahasiswa'!$Q$2:$Q$14, MATCH(MID('Data Status Pendaftar'!B86,5,3), 'Data Mahasiswa'!$N$2:$N$14&amp;TEXT('Data Mahasiswa'!$P$2:$P$14,"0"), 0))</f>
        <v>Teknik Industri</v>
      </c>
      <c r="H86" s="6">
        <f t="shared" ca="1" si="4"/>
        <v>2</v>
      </c>
      <c r="I86" s="7">
        <f>INDEX('Data Mahasiswa'!$A$1:$J$701, MATCH('Data Status Pendaftar'!B86, 'Data Mahasiswa'!$A$1:$A$701, 0), 10)</f>
        <v>3.6041666666666665</v>
      </c>
      <c r="J86" s="5" t="str" cm="1">
        <f t="array" ref="J86">INDEX('Data Mahasiswa'!B86:I86,MATCH(MIN(VLOOKUP('Data Mahasiswa'!B86:I86,'Data Mahasiswa'!$N$27:$O$36,2,0)),VLOOKUP('Data Mahasiswa'!B86:I86,'Data Mahasiswa'!$N$27:$O$36,2,0),0))</f>
        <v>B</v>
      </c>
      <c r="K86" s="5" t="str">
        <f t="shared" si="5"/>
        <v>Eligible</v>
      </c>
    </row>
    <row r="87" spans="1:11" x14ac:dyDescent="0.3">
      <c r="A87" s="8">
        <v>86</v>
      </c>
      <c r="B87" s="8" t="s">
        <v>137</v>
      </c>
      <c r="C87" s="8" t="s">
        <v>864</v>
      </c>
      <c r="D87" s="8" t="s">
        <v>780</v>
      </c>
      <c r="E87" s="9">
        <f t="shared" si="3"/>
        <v>2025</v>
      </c>
      <c r="F87" s="8" t="str">
        <f>INDEX('Data Mahasiswa'!$N$1:$Q$14, MATCH(MID('Data Status Pendaftar'!B87, 5,2), 'Data Mahasiswa'!$N$1:$N$14,0),2)</f>
        <v>Teknik</v>
      </c>
      <c r="G87" s="8" t="str" cm="1">
        <f t="array" ref="G87">INDEX('Data Mahasiswa'!$Q$2:$Q$14, MATCH(MID('Data Status Pendaftar'!B87,5,3), 'Data Mahasiswa'!$N$2:$N$14&amp;TEXT('Data Mahasiswa'!$P$2:$P$14,"0"), 0))</f>
        <v>Teknik Industri</v>
      </c>
      <c r="H87" s="9">
        <f t="shared" ca="1" si="4"/>
        <v>2</v>
      </c>
      <c r="I87" s="10">
        <f>INDEX('Data Mahasiswa'!$A$1:$J$701, MATCH('Data Status Pendaftar'!B87, 'Data Mahasiswa'!$A$1:$A$701, 0), 10)</f>
        <v>3.0208333333333335</v>
      </c>
      <c r="J87" s="8" t="str" cm="1">
        <f t="array" ref="J87">INDEX('Data Mahasiswa'!B87:I87,MATCH(MIN(VLOOKUP('Data Mahasiswa'!B87:I87,'Data Mahasiswa'!$N$27:$O$36,2,0)),VLOOKUP('Data Mahasiswa'!B87:I87,'Data Mahasiswa'!$N$27:$O$36,2,0),0))</f>
        <v>D</v>
      </c>
      <c r="K87" s="8" t="str">
        <f t="shared" si="5"/>
        <v>Tidak Eligible</v>
      </c>
    </row>
    <row r="88" spans="1:11" x14ac:dyDescent="0.3">
      <c r="A88" s="5">
        <v>87</v>
      </c>
      <c r="B88" s="5" t="s">
        <v>138</v>
      </c>
      <c r="C88" s="5" t="s">
        <v>865</v>
      </c>
      <c r="D88" s="5" t="s">
        <v>779</v>
      </c>
      <c r="E88" s="6">
        <f t="shared" si="3"/>
        <v>2025</v>
      </c>
      <c r="F88" s="5" t="str">
        <f>INDEX('Data Mahasiswa'!$N$1:$Q$14, MATCH(MID('Data Status Pendaftar'!B88, 5,2), 'Data Mahasiswa'!$N$1:$N$14,0),2)</f>
        <v>Teknik</v>
      </c>
      <c r="G88" s="5" t="str" cm="1">
        <f t="array" ref="G88">INDEX('Data Mahasiswa'!$Q$2:$Q$14, MATCH(MID('Data Status Pendaftar'!B88,5,3), 'Data Mahasiswa'!$N$2:$N$14&amp;TEXT('Data Mahasiswa'!$P$2:$P$14,"0"), 0))</f>
        <v>Teknik Industri</v>
      </c>
      <c r="H88" s="6">
        <f t="shared" ca="1" si="4"/>
        <v>2</v>
      </c>
      <c r="I88" s="7">
        <f>INDEX('Data Mahasiswa'!$A$1:$J$701, MATCH('Data Status Pendaftar'!B88, 'Data Mahasiswa'!$A$1:$A$701, 0), 10)</f>
        <v>2.9583333333333335</v>
      </c>
      <c r="J88" s="5" t="str" cm="1">
        <f t="array" ref="J88">INDEX('Data Mahasiswa'!B88:I88,MATCH(MIN(VLOOKUP('Data Mahasiswa'!B88:I88,'Data Mahasiswa'!$N$27:$O$36,2,0)),VLOOKUP('Data Mahasiswa'!B88:I88,'Data Mahasiswa'!$N$27:$O$36,2,0),0))</f>
        <v>D</v>
      </c>
      <c r="K88" s="5" t="str">
        <f t="shared" si="5"/>
        <v>Tidak Eligible</v>
      </c>
    </row>
    <row r="89" spans="1:11" x14ac:dyDescent="0.3">
      <c r="A89" s="8">
        <v>88</v>
      </c>
      <c r="B89" s="8" t="s">
        <v>139</v>
      </c>
      <c r="C89" s="8" t="s">
        <v>866</v>
      </c>
      <c r="D89" s="8" t="s">
        <v>780</v>
      </c>
      <c r="E89" s="9">
        <f t="shared" si="3"/>
        <v>2025</v>
      </c>
      <c r="F89" s="8" t="str">
        <f>INDEX('Data Mahasiswa'!$N$1:$Q$14, MATCH(MID('Data Status Pendaftar'!B89, 5,2), 'Data Mahasiswa'!$N$1:$N$14,0),2)</f>
        <v>Teknik</v>
      </c>
      <c r="G89" s="8" t="str" cm="1">
        <f t="array" ref="G89">INDEX('Data Mahasiswa'!$Q$2:$Q$14, MATCH(MID('Data Status Pendaftar'!B89,5,3), 'Data Mahasiswa'!$N$2:$N$14&amp;TEXT('Data Mahasiswa'!$P$2:$P$14,"0"), 0))</f>
        <v>Teknik Industri</v>
      </c>
      <c r="H89" s="9">
        <f t="shared" ca="1" si="4"/>
        <v>2</v>
      </c>
      <c r="I89" s="10">
        <f>INDEX('Data Mahasiswa'!$A$1:$J$701, MATCH('Data Status Pendaftar'!B89, 'Data Mahasiswa'!$A$1:$A$701, 0), 10)</f>
        <v>3.15625</v>
      </c>
      <c r="J89" s="8" t="str" cm="1">
        <f t="array" ref="J89">INDEX('Data Mahasiswa'!B89:I89,MATCH(MIN(VLOOKUP('Data Mahasiswa'!B89:I89,'Data Mahasiswa'!$N$27:$O$36,2,0)),VLOOKUP('Data Mahasiswa'!B89:I89,'Data Mahasiswa'!$N$27:$O$36,2,0),0))</f>
        <v>C</v>
      </c>
      <c r="K89" s="8" t="str">
        <f t="shared" si="5"/>
        <v>Eligible</v>
      </c>
    </row>
    <row r="90" spans="1:11" x14ac:dyDescent="0.3">
      <c r="A90" s="5">
        <v>89</v>
      </c>
      <c r="B90" s="5" t="s">
        <v>140</v>
      </c>
      <c r="C90" s="5" t="s">
        <v>867</v>
      </c>
      <c r="D90" s="5" t="s">
        <v>780</v>
      </c>
      <c r="E90" s="6">
        <f t="shared" si="3"/>
        <v>2025</v>
      </c>
      <c r="F90" s="5" t="str">
        <f>INDEX('Data Mahasiswa'!$N$1:$Q$14, MATCH(MID('Data Status Pendaftar'!B90, 5,2), 'Data Mahasiswa'!$N$1:$N$14,0),2)</f>
        <v>Teknik</v>
      </c>
      <c r="G90" s="5" t="str" cm="1">
        <f t="array" ref="G90">INDEX('Data Mahasiswa'!$Q$2:$Q$14, MATCH(MID('Data Status Pendaftar'!B90,5,3), 'Data Mahasiswa'!$N$2:$N$14&amp;TEXT('Data Mahasiswa'!$P$2:$P$14,"0"), 0))</f>
        <v>Teknik Industri</v>
      </c>
      <c r="H90" s="6">
        <f t="shared" ca="1" si="4"/>
        <v>2</v>
      </c>
      <c r="I90" s="7">
        <f>INDEX('Data Mahasiswa'!$A$1:$J$701, MATCH('Data Status Pendaftar'!B90, 'Data Mahasiswa'!$A$1:$A$701, 0), 10)</f>
        <v>2.90625</v>
      </c>
      <c r="J90" s="5" t="str" cm="1">
        <f t="array" ref="J90">INDEX('Data Mahasiswa'!B90:I90,MATCH(MIN(VLOOKUP('Data Mahasiswa'!B90:I90,'Data Mahasiswa'!$N$27:$O$36,2,0)),VLOOKUP('Data Mahasiswa'!B90:I90,'Data Mahasiswa'!$N$27:$O$36,2,0),0))</f>
        <v>D</v>
      </c>
      <c r="K90" s="5" t="str">
        <f t="shared" si="5"/>
        <v>Tidak Eligible</v>
      </c>
    </row>
    <row r="91" spans="1:11" x14ac:dyDescent="0.3">
      <c r="A91" s="8">
        <v>90</v>
      </c>
      <c r="B91" s="8" t="s">
        <v>141</v>
      </c>
      <c r="C91" s="8" t="s">
        <v>868</v>
      </c>
      <c r="D91" s="8" t="s">
        <v>779</v>
      </c>
      <c r="E91" s="9">
        <f t="shared" si="3"/>
        <v>2025</v>
      </c>
      <c r="F91" s="8" t="str">
        <f>INDEX('Data Mahasiswa'!$N$1:$Q$14, MATCH(MID('Data Status Pendaftar'!B91, 5,2), 'Data Mahasiswa'!$N$1:$N$14,0),2)</f>
        <v>Teknik</v>
      </c>
      <c r="G91" s="8" t="str" cm="1">
        <f t="array" ref="G91">INDEX('Data Mahasiswa'!$Q$2:$Q$14, MATCH(MID('Data Status Pendaftar'!B91,5,3), 'Data Mahasiswa'!$N$2:$N$14&amp;TEXT('Data Mahasiswa'!$P$2:$P$14,"0"), 0))</f>
        <v>Teknik Industri</v>
      </c>
      <c r="H91" s="9">
        <f t="shared" ca="1" si="4"/>
        <v>2</v>
      </c>
      <c r="I91" s="10">
        <f>INDEX('Data Mahasiswa'!$A$1:$J$701, MATCH('Data Status Pendaftar'!B91, 'Data Mahasiswa'!$A$1:$A$701, 0), 10)</f>
        <v>3.09375</v>
      </c>
      <c r="J91" s="8" t="str" cm="1">
        <f t="array" ref="J91">INDEX('Data Mahasiswa'!B91:I91,MATCH(MIN(VLOOKUP('Data Mahasiswa'!B91:I91,'Data Mahasiswa'!$N$27:$O$36,2,0)),VLOOKUP('Data Mahasiswa'!B91:I91,'Data Mahasiswa'!$N$27:$O$36,2,0),0))</f>
        <v>D</v>
      </c>
      <c r="K91" s="8" t="str">
        <f t="shared" si="5"/>
        <v>Tidak Eligible</v>
      </c>
    </row>
    <row r="92" spans="1:11" x14ac:dyDescent="0.3">
      <c r="A92" s="5">
        <v>91</v>
      </c>
      <c r="B92" s="5" t="s">
        <v>142</v>
      </c>
      <c r="C92" s="5" t="s">
        <v>869</v>
      </c>
      <c r="D92" s="5" t="s">
        <v>780</v>
      </c>
      <c r="E92" s="6">
        <f t="shared" si="3"/>
        <v>2025</v>
      </c>
      <c r="F92" s="5" t="str">
        <f>INDEX('Data Mahasiswa'!$N$1:$Q$14, MATCH(MID('Data Status Pendaftar'!B92, 5,2), 'Data Mahasiswa'!$N$1:$N$14,0),2)</f>
        <v>Teknik</v>
      </c>
      <c r="G92" s="5" t="str" cm="1">
        <f t="array" ref="G92">INDEX('Data Mahasiswa'!$Q$2:$Q$14, MATCH(MID('Data Status Pendaftar'!B92,5,3), 'Data Mahasiswa'!$N$2:$N$14&amp;TEXT('Data Mahasiswa'!$P$2:$P$14,"0"), 0))</f>
        <v>Teknik Industri</v>
      </c>
      <c r="H92" s="6">
        <f t="shared" ca="1" si="4"/>
        <v>2</v>
      </c>
      <c r="I92" s="7">
        <f>INDEX('Data Mahasiswa'!$A$1:$J$701, MATCH('Data Status Pendaftar'!B92, 'Data Mahasiswa'!$A$1:$A$701, 0), 10)</f>
        <v>2.875</v>
      </c>
      <c r="J92" s="5" t="str" cm="1">
        <f t="array" ref="J92">INDEX('Data Mahasiswa'!B92:I92,MATCH(MIN(VLOOKUP('Data Mahasiswa'!B92:I92,'Data Mahasiswa'!$N$27:$O$36,2,0)),VLOOKUP('Data Mahasiswa'!B92:I92,'Data Mahasiswa'!$N$27:$O$36,2,0),0))</f>
        <v>E</v>
      </c>
      <c r="K92" s="5" t="str">
        <f t="shared" si="5"/>
        <v>Tidak Eligible</v>
      </c>
    </row>
    <row r="93" spans="1:11" x14ac:dyDescent="0.3">
      <c r="A93" s="8">
        <v>92</v>
      </c>
      <c r="B93" s="8" t="s">
        <v>143</v>
      </c>
      <c r="C93" s="8" t="s">
        <v>870</v>
      </c>
      <c r="D93" s="8" t="s">
        <v>780</v>
      </c>
      <c r="E93" s="9">
        <f t="shared" si="3"/>
        <v>2025</v>
      </c>
      <c r="F93" s="8" t="str">
        <f>INDEX('Data Mahasiswa'!$N$1:$Q$14, MATCH(MID('Data Status Pendaftar'!B93, 5,2), 'Data Mahasiswa'!$N$1:$N$14,0),2)</f>
        <v>Ekonomi</v>
      </c>
      <c r="G93" s="8" t="str" cm="1">
        <f t="array" ref="G93">INDEX('Data Mahasiswa'!$Q$2:$Q$14, MATCH(MID('Data Status Pendaftar'!B93,5,3), 'Data Mahasiswa'!$N$2:$N$14&amp;TEXT('Data Mahasiswa'!$P$2:$P$14,"0"), 0))</f>
        <v>Manajemen</v>
      </c>
      <c r="H93" s="9">
        <f t="shared" ca="1" si="4"/>
        <v>2</v>
      </c>
      <c r="I93" s="10">
        <f>INDEX('Data Mahasiswa'!$A$1:$J$701, MATCH('Data Status Pendaftar'!B93, 'Data Mahasiswa'!$A$1:$A$701, 0), 10)</f>
        <v>2.6041666666666665</v>
      </c>
      <c r="J93" s="8" t="str" cm="1">
        <f t="array" ref="J93">INDEX('Data Mahasiswa'!B93:I93,MATCH(MIN(VLOOKUP('Data Mahasiswa'!B93:I93,'Data Mahasiswa'!$N$27:$O$36,2,0)),VLOOKUP('Data Mahasiswa'!B93:I93,'Data Mahasiswa'!$N$27:$O$36,2,0),0))</f>
        <v>E</v>
      </c>
      <c r="K93" s="8" t="str">
        <f t="shared" si="5"/>
        <v>Tidak Eligible</v>
      </c>
    </row>
    <row r="94" spans="1:11" x14ac:dyDescent="0.3">
      <c r="A94" s="5">
        <v>93</v>
      </c>
      <c r="B94" s="5" t="s">
        <v>144</v>
      </c>
      <c r="C94" s="5" t="s">
        <v>871</v>
      </c>
      <c r="D94" s="5" t="s">
        <v>780</v>
      </c>
      <c r="E94" s="6">
        <f t="shared" si="3"/>
        <v>2025</v>
      </c>
      <c r="F94" s="5" t="str">
        <f>INDEX('Data Mahasiswa'!$N$1:$Q$14, MATCH(MID('Data Status Pendaftar'!B94, 5,2), 'Data Mahasiswa'!$N$1:$N$14,0),2)</f>
        <v>Ekonomi</v>
      </c>
      <c r="G94" s="5" t="str" cm="1">
        <f t="array" ref="G94">INDEX('Data Mahasiswa'!$Q$2:$Q$14, MATCH(MID('Data Status Pendaftar'!B94,5,3), 'Data Mahasiswa'!$N$2:$N$14&amp;TEXT('Data Mahasiswa'!$P$2:$P$14,"0"), 0))</f>
        <v>Manajemen</v>
      </c>
      <c r="H94" s="6">
        <f t="shared" ca="1" si="4"/>
        <v>2</v>
      </c>
      <c r="I94" s="7">
        <f>INDEX('Data Mahasiswa'!$A$1:$J$701, MATCH('Data Status Pendaftar'!B94, 'Data Mahasiswa'!$A$1:$A$701, 0), 10)</f>
        <v>3.0625</v>
      </c>
      <c r="J94" s="5" t="str" cm="1">
        <f t="array" ref="J94">INDEX('Data Mahasiswa'!B94:I94,MATCH(MIN(VLOOKUP('Data Mahasiswa'!B94:I94,'Data Mahasiswa'!$N$27:$O$36,2,0)),VLOOKUP('Data Mahasiswa'!B94:I94,'Data Mahasiswa'!$N$27:$O$36,2,0),0))</f>
        <v>D</v>
      </c>
      <c r="K94" s="5" t="str">
        <f t="shared" si="5"/>
        <v>Tidak Eligible</v>
      </c>
    </row>
    <row r="95" spans="1:11" x14ac:dyDescent="0.3">
      <c r="A95" s="8">
        <v>94</v>
      </c>
      <c r="B95" s="8" t="s">
        <v>145</v>
      </c>
      <c r="C95" s="8" t="s">
        <v>872</v>
      </c>
      <c r="D95" s="8" t="s">
        <v>779</v>
      </c>
      <c r="E95" s="9">
        <f t="shared" si="3"/>
        <v>2025</v>
      </c>
      <c r="F95" s="8" t="str">
        <f>INDEX('Data Mahasiswa'!$N$1:$Q$14, MATCH(MID('Data Status Pendaftar'!B95, 5,2), 'Data Mahasiswa'!$N$1:$N$14,0),2)</f>
        <v>Ekonomi</v>
      </c>
      <c r="G95" s="8" t="str" cm="1">
        <f t="array" ref="G95">INDEX('Data Mahasiswa'!$Q$2:$Q$14, MATCH(MID('Data Status Pendaftar'!B95,5,3), 'Data Mahasiswa'!$N$2:$N$14&amp;TEXT('Data Mahasiswa'!$P$2:$P$14,"0"), 0))</f>
        <v>Manajemen</v>
      </c>
      <c r="H95" s="9">
        <f t="shared" ca="1" si="4"/>
        <v>2</v>
      </c>
      <c r="I95" s="10">
        <f>INDEX('Data Mahasiswa'!$A$1:$J$701, MATCH('Data Status Pendaftar'!B95, 'Data Mahasiswa'!$A$1:$A$701, 0), 10)</f>
        <v>3.2083333333333335</v>
      </c>
      <c r="J95" s="8" t="str" cm="1">
        <f t="array" ref="J95">INDEX('Data Mahasiswa'!B95:I95,MATCH(MIN(VLOOKUP('Data Mahasiswa'!B95:I95,'Data Mahasiswa'!$N$27:$O$36,2,0)),VLOOKUP('Data Mahasiswa'!B95:I95,'Data Mahasiswa'!$N$27:$O$36,2,0),0))</f>
        <v>D</v>
      </c>
      <c r="K95" s="8" t="str">
        <f t="shared" si="5"/>
        <v>Tidak Eligible</v>
      </c>
    </row>
    <row r="96" spans="1:11" x14ac:dyDescent="0.3">
      <c r="A96" s="5">
        <v>95</v>
      </c>
      <c r="B96" s="5" t="s">
        <v>146</v>
      </c>
      <c r="C96" s="5" t="s">
        <v>873</v>
      </c>
      <c r="D96" s="5" t="s">
        <v>779</v>
      </c>
      <c r="E96" s="6">
        <f t="shared" si="3"/>
        <v>2025</v>
      </c>
      <c r="F96" s="5" t="str">
        <f>INDEX('Data Mahasiswa'!$N$1:$Q$14, MATCH(MID('Data Status Pendaftar'!B96, 5,2), 'Data Mahasiswa'!$N$1:$N$14,0),2)</f>
        <v>Ekonomi</v>
      </c>
      <c r="G96" s="5" t="str" cm="1">
        <f t="array" ref="G96">INDEX('Data Mahasiswa'!$Q$2:$Q$14, MATCH(MID('Data Status Pendaftar'!B96,5,3), 'Data Mahasiswa'!$N$2:$N$14&amp;TEXT('Data Mahasiswa'!$P$2:$P$14,"0"), 0))</f>
        <v>Manajemen</v>
      </c>
      <c r="H96" s="6">
        <f t="shared" ca="1" si="4"/>
        <v>2</v>
      </c>
      <c r="I96" s="7">
        <f>INDEX('Data Mahasiswa'!$A$1:$J$701, MATCH('Data Status Pendaftar'!B96, 'Data Mahasiswa'!$A$1:$A$701, 0), 10)</f>
        <v>3</v>
      </c>
      <c r="J96" s="5" t="str" cm="1">
        <f t="array" ref="J96">INDEX('Data Mahasiswa'!B96:I96,MATCH(MIN(VLOOKUP('Data Mahasiswa'!B96:I96,'Data Mahasiswa'!$N$27:$O$36,2,0)),VLOOKUP('Data Mahasiswa'!B96:I96,'Data Mahasiswa'!$N$27:$O$36,2,0),0))</f>
        <v>C</v>
      </c>
      <c r="K96" s="5" t="str">
        <f t="shared" si="5"/>
        <v>Eligible</v>
      </c>
    </row>
    <row r="97" spans="1:11" x14ac:dyDescent="0.3">
      <c r="A97" s="8">
        <v>96</v>
      </c>
      <c r="B97" s="8" t="s">
        <v>147</v>
      </c>
      <c r="C97" s="8" t="s">
        <v>874</v>
      </c>
      <c r="D97" s="8" t="s">
        <v>779</v>
      </c>
      <c r="E97" s="9">
        <f t="shared" si="3"/>
        <v>2025</v>
      </c>
      <c r="F97" s="8" t="str">
        <f>INDEX('Data Mahasiswa'!$N$1:$Q$14, MATCH(MID('Data Status Pendaftar'!B97, 5,2), 'Data Mahasiswa'!$N$1:$N$14,0),2)</f>
        <v>Ekonomi</v>
      </c>
      <c r="G97" s="8" t="str" cm="1">
        <f t="array" ref="G97">INDEX('Data Mahasiswa'!$Q$2:$Q$14, MATCH(MID('Data Status Pendaftar'!B97,5,3), 'Data Mahasiswa'!$N$2:$N$14&amp;TEXT('Data Mahasiswa'!$P$2:$P$14,"0"), 0))</f>
        <v>Manajemen</v>
      </c>
      <c r="H97" s="9">
        <f t="shared" ca="1" si="4"/>
        <v>2</v>
      </c>
      <c r="I97" s="10">
        <f>INDEX('Data Mahasiswa'!$A$1:$J$701, MATCH('Data Status Pendaftar'!B97, 'Data Mahasiswa'!$A$1:$A$701, 0), 10)</f>
        <v>3.3541666666666665</v>
      </c>
      <c r="J97" s="8" t="str" cm="1">
        <f t="array" ref="J97">INDEX('Data Mahasiswa'!B97:I97,MATCH(MIN(VLOOKUP('Data Mahasiswa'!B97:I97,'Data Mahasiswa'!$N$27:$O$36,2,0)),VLOOKUP('Data Mahasiswa'!B97:I97,'Data Mahasiswa'!$N$27:$O$36,2,0),0))</f>
        <v>C</v>
      </c>
      <c r="K97" s="8" t="str">
        <f t="shared" si="5"/>
        <v>Eligible</v>
      </c>
    </row>
    <row r="98" spans="1:11" x14ac:dyDescent="0.3">
      <c r="A98" s="5">
        <v>97</v>
      </c>
      <c r="B98" s="5" t="s">
        <v>148</v>
      </c>
      <c r="C98" s="5" t="s">
        <v>875</v>
      </c>
      <c r="D98" s="5" t="s">
        <v>779</v>
      </c>
      <c r="E98" s="6">
        <f t="shared" si="3"/>
        <v>2025</v>
      </c>
      <c r="F98" s="5" t="str">
        <f>INDEX('Data Mahasiswa'!$N$1:$Q$14, MATCH(MID('Data Status Pendaftar'!B98, 5,2), 'Data Mahasiswa'!$N$1:$N$14,0),2)</f>
        <v>Ekonomi</v>
      </c>
      <c r="G98" s="5" t="str" cm="1">
        <f t="array" ref="G98">INDEX('Data Mahasiswa'!$Q$2:$Q$14, MATCH(MID('Data Status Pendaftar'!B98,5,3), 'Data Mahasiswa'!$N$2:$N$14&amp;TEXT('Data Mahasiswa'!$P$2:$P$14,"0"), 0))</f>
        <v>Manajemen</v>
      </c>
      <c r="H98" s="6">
        <f t="shared" ca="1" si="4"/>
        <v>2</v>
      </c>
      <c r="I98" s="7">
        <f>INDEX('Data Mahasiswa'!$A$1:$J$701, MATCH('Data Status Pendaftar'!B98, 'Data Mahasiswa'!$A$1:$A$701, 0), 10)</f>
        <v>3.4270833333333335</v>
      </c>
      <c r="J98" s="5" t="str" cm="1">
        <f t="array" ref="J98">INDEX('Data Mahasiswa'!B98:I98,MATCH(MIN(VLOOKUP('Data Mahasiswa'!B98:I98,'Data Mahasiswa'!$N$27:$O$36,2,0)),VLOOKUP('Data Mahasiswa'!B98:I98,'Data Mahasiswa'!$N$27:$O$36,2,0),0))</f>
        <v>C</v>
      </c>
      <c r="K98" s="5" t="str">
        <f t="shared" si="5"/>
        <v>Eligible</v>
      </c>
    </row>
    <row r="99" spans="1:11" x14ac:dyDescent="0.3">
      <c r="A99" s="8">
        <v>98</v>
      </c>
      <c r="B99" s="8" t="s">
        <v>149</v>
      </c>
      <c r="C99" s="8" t="s">
        <v>876</v>
      </c>
      <c r="D99" s="8" t="s">
        <v>779</v>
      </c>
      <c r="E99" s="9">
        <f t="shared" si="3"/>
        <v>2025</v>
      </c>
      <c r="F99" s="8" t="str">
        <f>INDEX('Data Mahasiswa'!$N$1:$Q$14, MATCH(MID('Data Status Pendaftar'!B99, 5,2), 'Data Mahasiswa'!$N$1:$N$14,0),2)</f>
        <v>Ekonomi</v>
      </c>
      <c r="G99" s="8" t="str" cm="1">
        <f t="array" ref="G99">INDEX('Data Mahasiswa'!$Q$2:$Q$14, MATCH(MID('Data Status Pendaftar'!B99,5,3), 'Data Mahasiswa'!$N$2:$N$14&amp;TEXT('Data Mahasiswa'!$P$2:$P$14,"0"), 0))</f>
        <v>Manajemen</v>
      </c>
      <c r="H99" s="9">
        <f t="shared" ca="1" si="4"/>
        <v>2</v>
      </c>
      <c r="I99" s="10">
        <f>INDEX('Data Mahasiswa'!$A$1:$J$701, MATCH('Data Status Pendaftar'!B99, 'Data Mahasiswa'!$A$1:$A$701, 0), 10)</f>
        <v>2.84375</v>
      </c>
      <c r="J99" s="8" t="str" cm="1">
        <f t="array" ref="J99">INDEX('Data Mahasiswa'!B99:I99,MATCH(MIN(VLOOKUP('Data Mahasiswa'!B99:I99,'Data Mahasiswa'!$N$27:$O$36,2,0)),VLOOKUP('Data Mahasiswa'!B99:I99,'Data Mahasiswa'!$N$27:$O$36,2,0),0))</f>
        <v>D</v>
      </c>
      <c r="K99" s="8" t="str">
        <f t="shared" si="5"/>
        <v>Tidak Eligible</v>
      </c>
    </row>
    <row r="100" spans="1:11" x14ac:dyDescent="0.3">
      <c r="A100" s="5">
        <v>99</v>
      </c>
      <c r="B100" s="5" t="s">
        <v>150</v>
      </c>
      <c r="C100" s="5" t="s">
        <v>877</v>
      </c>
      <c r="D100" s="5" t="s">
        <v>780</v>
      </c>
      <c r="E100" s="6">
        <f t="shared" si="3"/>
        <v>2025</v>
      </c>
      <c r="F100" s="5" t="str">
        <f>INDEX('Data Mahasiswa'!$N$1:$Q$14, MATCH(MID('Data Status Pendaftar'!B100, 5,2), 'Data Mahasiswa'!$N$1:$N$14,0),2)</f>
        <v>Ekonomi</v>
      </c>
      <c r="G100" s="5" t="str" cm="1">
        <f t="array" ref="G100">INDEX('Data Mahasiswa'!$Q$2:$Q$14, MATCH(MID('Data Status Pendaftar'!B100,5,3), 'Data Mahasiswa'!$N$2:$N$14&amp;TEXT('Data Mahasiswa'!$P$2:$P$14,"0"), 0))</f>
        <v>Manajemen</v>
      </c>
      <c r="H100" s="6">
        <f t="shared" ca="1" si="4"/>
        <v>2</v>
      </c>
      <c r="I100" s="7">
        <f>INDEX('Data Mahasiswa'!$A$1:$J$701, MATCH('Data Status Pendaftar'!B100, 'Data Mahasiswa'!$A$1:$A$701, 0), 10)</f>
        <v>2.2291666666666665</v>
      </c>
      <c r="J100" s="5" t="str" cm="1">
        <f t="array" ref="J100">INDEX('Data Mahasiswa'!B100:I100,MATCH(MIN(VLOOKUP('Data Mahasiswa'!B100:I100,'Data Mahasiswa'!$N$27:$O$36,2,0)),VLOOKUP('Data Mahasiswa'!B100:I100,'Data Mahasiswa'!$N$27:$O$36,2,0),0))</f>
        <v>D</v>
      </c>
      <c r="K100" s="5" t="str">
        <f t="shared" si="5"/>
        <v>Tidak Eligible</v>
      </c>
    </row>
    <row r="101" spans="1:11" x14ac:dyDescent="0.3">
      <c r="A101" s="8">
        <v>100</v>
      </c>
      <c r="B101" s="8" t="s">
        <v>151</v>
      </c>
      <c r="C101" s="8" t="s">
        <v>878</v>
      </c>
      <c r="D101" s="8" t="s">
        <v>780</v>
      </c>
      <c r="E101" s="9">
        <f t="shared" si="3"/>
        <v>2025</v>
      </c>
      <c r="F101" s="8" t="str">
        <f>INDEX('Data Mahasiswa'!$N$1:$Q$14, MATCH(MID('Data Status Pendaftar'!B101, 5,2), 'Data Mahasiswa'!$N$1:$N$14,0),2)</f>
        <v>Ekonomi</v>
      </c>
      <c r="G101" s="8" t="str" cm="1">
        <f t="array" ref="G101">INDEX('Data Mahasiswa'!$Q$2:$Q$14, MATCH(MID('Data Status Pendaftar'!B101,5,3), 'Data Mahasiswa'!$N$2:$N$14&amp;TEXT('Data Mahasiswa'!$P$2:$P$14,"0"), 0))</f>
        <v>Manajemen</v>
      </c>
      <c r="H101" s="9">
        <f t="shared" ca="1" si="4"/>
        <v>2</v>
      </c>
      <c r="I101" s="10">
        <f>INDEX('Data Mahasiswa'!$A$1:$J$701, MATCH('Data Status Pendaftar'!B101, 'Data Mahasiswa'!$A$1:$A$701, 0), 10)</f>
        <v>3.125</v>
      </c>
      <c r="J101" s="8" t="str" cm="1">
        <f t="array" ref="J101">INDEX('Data Mahasiswa'!B101:I101,MATCH(MIN(VLOOKUP('Data Mahasiswa'!B101:I101,'Data Mahasiswa'!$N$27:$O$36,2,0)),VLOOKUP('Data Mahasiswa'!B101:I101,'Data Mahasiswa'!$N$27:$O$36,2,0),0))</f>
        <v>C</v>
      </c>
      <c r="K101" s="8" t="str">
        <f t="shared" si="5"/>
        <v>Eligible</v>
      </c>
    </row>
    <row r="102" spans="1:11" x14ac:dyDescent="0.3">
      <c r="A102" s="5">
        <v>101</v>
      </c>
      <c r="B102" s="5" t="s">
        <v>152</v>
      </c>
      <c r="C102" s="5" t="s">
        <v>879</v>
      </c>
      <c r="D102" s="5" t="s">
        <v>779</v>
      </c>
      <c r="E102" s="6">
        <f t="shared" si="3"/>
        <v>2025</v>
      </c>
      <c r="F102" s="5" t="str">
        <f>INDEX('Data Mahasiswa'!$N$1:$Q$14, MATCH(MID('Data Status Pendaftar'!B102, 5,2), 'Data Mahasiswa'!$N$1:$N$14,0),2)</f>
        <v>Ekonomi</v>
      </c>
      <c r="G102" s="5" t="str" cm="1">
        <f t="array" ref="G102">INDEX('Data Mahasiswa'!$Q$2:$Q$14, MATCH(MID('Data Status Pendaftar'!B102,5,3), 'Data Mahasiswa'!$N$2:$N$14&amp;TEXT('Data Mahasiswa'!$P$2:$P$14,"0"), 0))</f>
        <v>Manajemen</v>
      </c>
      <c r="H102" s="6">
        <f t="shared" ca="1" si="4"/>
        <v>2</v>
      </c>
      <c r="I102" s="7">
        <f>INDEX('Data Mahasiswa'!$A$1:$J$701, MATCH('Data Status Pendaftar'!B102, 'Data Mahasiswa'!$A$1:$A$701, 0), 10)</f>
        <v>3.0833333333333335</v>
      </c>
      <c r="J102" s="5" t="str" cm="1">
        <f t="array" ref="J102">INDEX('Data Mahasiswa'!B102:I102,MATCH(MIN(VLOOKUP('Data Mahasiswa'!B102:I102,'Data Mahasiswa'!$N$27:$O$36,2,0)),VLOOKUP('Data Mahasiswa'!B102:I102,'Data Mahasiswa'!$N$27:$O$36,2,0),0))</f>
        <v>C+</v>
      </c>
      <c r="K102" s="5" t="str">
        <f t="shared" si="5"/>
        <v>Eligible</v>
      </c>
    </row>
    <row r="103" spans="1:11" x14ac:dyDescent="0.3">
      <c r="A103" s="8">
        <v>102</v>
      </c>
      <c r="B103" s="8" t="s">
        <v>153</v>
      </c>
      <c r="C103" s="8" t="s">
        <v>880</v>
      </c>
      <c r="D103" s="8" t="s">
        <v>779</v>
      </c>
      <c r="E103" s="9">
        <f t="shared" si="3"/>
        <v>2025</v>
      </c>
      <c r="F103" s="8" t="str">
        <f>INDEX('Data Mahasiswa'!$N$1:$Q$14, MATCH(MID('Data Status Pendaftar'!B103, 5,2), 'Data Mahasiswa'!$N$1:$N$14,0),2)</f>
        <v>Ekonomi</v>
      </c>
      <c r="G103" s="8" t="str" cm="1">
        <f t="array" ref="G103">INDEX('Data Mahasiswa'!$Q$2:$Q$14, MATCH(MID('Data Status Pendaftar'!B103,5,3), 'Data Mahasiswa'!$N$2:$N$14&amp;TEXT('Data Mahasiswa'!$P$2:$P$14,"0"), 0))</f>
        <v>Manajemen</v>
      </c>
      <c r="H103" s="9">
        <f t="shared" ca="1" si="4"/>
        <v>2</v>
      </c>
      <c r="I103" s="10">
        <f>INDEX('Data Mahasiswa'!$A$1:$J$701, MATCH('Data Status Pendaftar'!B103, 'Data Mahasiswa'!$A$1:$A$701, 0), 10)</f>
        <v>2.875</v>
      </c>
      <c r="J103" s="8" t="str" cm="1">
        <f t="array" ref="J103">INDEX('Data Mahasiswa'!B103:I103,MATCH(MIN(VLOOKUP('Data Mahasiswa'!B103:I103,'Data Mahasiswa'!$N$27:$O$36,2,0)),VLOOKUP('Data Mahasiswa'!B103:I103,'Data Mahasiswa'!$N$27:$O$36,2,0),0))</f>
        <v>E</v>
      </c>
      <c r="K103" s="8" t="str">
        <f t="shared" si="5"/>
        <v>Tidak Eligible</v>
      </c>
    </row>
    <row r="104" spans="1:11" x14ac:dyDescent="0.3">
      <c r="A104" s="5">
        <v>103</v>
      </c>
      <c r="B104" s="5" t="s">
        <v>154</v>
      </c>
      <c r="C104" s="5" t="s">
        <v>881</v>
      </c>
      <c r="D104" s="5" t="s">
        <v>780</v>
      </c>
      <c r="E104" s="6">
        <f t="shared" si="3"/>
        <v>2025</v>
      </c>
      <c r="F104" s="5" t="str">
        <f>INDEX('Data Mahasiswa'!$N$1:$Q$14, MATCH(MID('Data Status Pendaftar'!B104, 5,2), 'Data Mahasiswa'!$N$1:$N$14,0),2)</f>
        <v>Ekonomi</v>
      </c>
      <c r="G104" s="5" t="str" cm="1">
        <f t="array" ref="G104">INDEX('Data Mahasiswa'!$Q$2:$Q$14, MATCH(MID('Data Status Pendaftar'!B104,5,3), 'Data Mahasiswa'!$N$2:$N$14&amp;TEXT('Data Mahasiswa'!$P$2:$P$14,"0"), 0))</f>
        <v>Manajemen</v>
      </c>
      <c r="H104" s="6">
        <f t="shared" ca="1" si="4"/>
        <v>2</v>
      </c>
      <c r="I104" s="7">
        <f>INDEX('Data Mahasiswa'!$A$1:$J$701, MATCH('Data Status Pendaftar'!B104, 'Data Mahasiswa'!$A$1:$A$701, 0), 10)</f>
        <v>2.65625</v>
      </c>
      <c r="J104" s="5" t="str" cm="1">
        <f t="array" ref="J104">INDEX('Data Mahasiswa'!B104:I104,MATCH(MIN(VLOOKUP('Data Mahasiswa'!B104:I104,'Data Mahasiswa'!$N$27:$O$36,2,0)),VLOOKUP('Data Mahasiswa'!B104:I104,'Data Mahasiswa'!$N$27:$O$36,2,0),0))</f>
        <v>E</v>
      </c>
      <c r="K104" s="5" t="str">
        <f t="shared" si="5"/>
        <v>Tidak Eligible</v>
      </c>
    </row>
    <row r="105" spans="1:11" x14ac:dyDescent="0.3">
      <c r="A105" s="8">
        <v>104</v>
      </c>
      <c r="B105" s="8" t="s">
        <v>155</v>
      </c>
      <c r="C105" s="8" t="s">
        <v>882</v>
      </c>
      <c r="D105" s="8" t="s">
        <v>780</v>
      </c>
      <c r="E105" s="9">
        <f t="shared" si="3"/>
        <v>2025</v>
      </c>
      <c r="F105" s="8" t="str">
        <f>INDEX('Data Mahasiswa'!$N$1:$Q$14, MATCH(MID('Data Status Pendaftar'!B105, 5,2), 'Data Mahasiswa'!$N$1:$N$14,0),2)</f>
        <v>Ekonomi</v>
      </c>
      <c r="G105" s="8" t="str" cm="1">
        <f t="array" ref="G105">INDEX('Data Mahasiswa'!$Q$2:$Q$14, MATCH(MID('Data Status Pendaftar'!B105,5,3), 'Data Mahasiswa'!$N$2:$N$14&amp;TEXT('Data Mahasiswa'!$P$2:$P$14,"0"), 0))</f>
        <v>Manajemen</v>
      </c>
      <c r="H105" s="9">
        <f t="shared" ca="1" si="4"/>
        <v>2</v>
      </c>
      <c r="I105" s="10">
        <f>INDEX('Data Mahasiswa'!$A$1:$J$701, MATCH('Data Status Pendaftar'!B105, 'Data Mahasiswa'!$A$1:$A$701, 0), 10)</f>
        <v>3.25</v>
      </c>
      <c r="J105" s="8" t="str" cm="1">
        <f t="array" ref="J105">INDEX('Data Mahasiswa'!B105:I105,MATCH(MIN(VLOOKUP('Data Mahasiswa'!B105:I105,'Data Mahasiswa'!$N$27:$O$36,2,0)),VLOOKUP('Data Mahasiswa'!B105:I105,'Data Mahasiswa'!$N$27:$O$36,2,0),0))</f>
        <v>C+</v>
      </c>
      <c r="K105" s="8" t="str">
        <f t="shared" si="5"/>
        <v>Eligible</v>
      </c>
    </row>
    <row r="106" spans="1:11" x14ac:dyDescent="0.3">
      <c r="A106" s="5">
        <v>105</v>
      </c>
      <c r="B106" s="5" t="s">
        <v>156</v>
      </c>
      <c r="C106" s="5" t="s">
        <v>883</v>
      </c>
      <c r="D106" s="5" t="s">
        <v>780</v>
      </c>
      <c r="E106" s="6">
        <f t="shared" si="3"/>
        <v>2025</v>
      </c>
      <c r="F106" s="5" t="str">
        <f>INDEX('Data Mahasiswa'!$N$1:$Q$14, MATCH(MID('Data Status Pendaftar'!B106, 5,2), 'Data Mahasiswa'!$N$1:$N$14,0),2)</f>
        <v>Ekonomi</v>
      </c>
      <c r="G106" s="5" t="str" cm="1">
        <f t="array" ref="G106">INDEX('Data Mahasiswa'!$Q$2:$Q$14, MATCH(MID('Data Status Pendaftar'!B106,5,3), 'Data Mahasiswa'!$N$2:$N$14&amp;TEXT('Data Mahasiswa'!$P$2:$P$14,"0"), 0))</f>
        <v>Manajemen</v>
      </c>
      <c r="H106" s="6">
        <f t="shared" ca="1" si="4"/>
        <v>2</v>
      </c>
      <c r="I106" s="7">
        <f>INDEX('Data Mahasiswa'!$A$1:$J$701, MATCH('Data Status Pendaftar'!B106, 'Data Mahasiswa'!$A$1:$A$701, 0), 10)</f>
        <v>3.3645833333333335</v>
      </c>
      <c r="J106" s="5" t="str" cm="1">
        <f t="array" ref="J106">INDEX('Data Mahasiswa'!B106:I106,MATCH(MIN(VLOOKUP('Data Mahasiswa'!B106:I106,'Data Mahasiswa'!$N$27:$O$36,2,0)),VLOOKUP('Data Mahasiswa'!B106:I106,'Data Mahasiswa'!$N$27:$O$36,2,0),0))</f>
        <v>C+</v>
      </c>
      <c r="K106" s="5" t="str">
        <f t="shared" si="5"/>
        <v>Eligible</v>
      </c>
    </row>
    <row r="107" spans="1:11" x14ac:dyDescent="0.3">
      <c r="A107" s="8">
        <v>106</v>
      </c>
      <c r="B107" s="8" t="s">
        <v>157</v>
      </c>
      <c r="C107" s="8" t="s">
        <v>884</v>
      </c>
      <c r="D107" s="8" t="s">
        <v>779</v>
      </c>
      <c r="E107" s="9">
        <f t="shared" si="3"/>
        <v>2025</v>
      </c>
      <c r="F107" s="8" t="str">
        <f>INDEX('Data Mahasiswa'!$N$1:$Q$14, MATCH(MID('Data Status Pendaftar'!B107, 5,2), 'Data Mahasiswa'!$N$1:$N$14,0),2)</f>
        <v>Ekonomi</v>
      </c>
      <c r="G107" s="8" t="str" cm="1">
        <f t="array" ref="G107">INDEX('Data Mahasiswa'!$Q$2:$Q$14, MATCH(MID('Data Status Pendaftar'!B107,5,3), 'Data Mahasiswa'!$N$2:$N$14&amp;TEXT('Data Mahasiswa'!$P$2:$P$14,"0"), 0))</f>
        <v>Manajemen</v>
      </c>
      <c r="H107" s="9">
        <f t="shared" ca="1" si="4"/>
        <v>2</v>
      </c>
      <c r="I107" s="10">
        <f>INDEX('Data Mahasiswa'!$A$1:$J$701, MATCH('Data Status Pendaftar'!B107, 'Data Mahasiswa'!$A$1:$A$701, 0), 10)</f>
        <v>2.9375</v>
      </c>
      <c r="J107" s="8" t="str" cm="1">
        <f t="array" ref="J107">INDEX('Data Mahasiswa'!B107:I107,MATCH(MIN(VLOOKUP('Data Mahasiswa'!B107:I107,'Data Mahasiswa'!$N$27:$O$36,2,0)),VLOOKUP('Data Mahasiswa'!B107:I107,'Data Mahasiswa'!$N$27:$O$36,2,0),0))</f>
        <v>E</v>
      </c>
      <c r="K107" s="8" t="str">
        <f t="shared" si="5"/>
        <v>Tidak Eligible</v>
      </c>
    </row>
    <row r="108" spans="1:11" x14ac:dyDescent="0.3">
      <c r="A108" s="5">
        <v>107</v>
      </c>
      <c r="B108" s="5" t="s">
        <v>158</v>
      </c>
      <c r="C108" s="5" t="s">
        <v>885</v>
      </c>
      <c r="D108" s="5" t="s">
        <v>779</v>
      </c>
      <c r="E108" s="6">
        <f t="shared" si="3"/>
        <v>2025</v>
      </c>
      <c r="F108" s="5" t="str">
        <f>INDEX('Data Mahasiswa'!$N$1:$Q$14, MATCH(MID('Data Status Pendaftar'!B108, 5,2), 'Data Mahasiswa'!$N$1:$N$14,0),2)</f>
        <v>Ekonomi</v>
      </c>
      <c r="G108" s="5" t="str" cm="1">
        <f t="array" ref="G108">INDEX('Data Mahasiswa'!$Q$2:$Q$14, MATCH(MID('Data Status Pendaftar'!B108,5,3), 'Data Mahasiswa'!$N$2:$N$14&amp;TEXT('Data Mahasiswa'!$P$2:$P$14,"0"), 0))</f>
        <v>Manajemen</v>
      </c>
      <c r="H108" s="6">
        <f t="shared" ca="1" si="4"/>
        <v>2</v>
      </c>
      <c r="I108" s="7">
        <f>INDEX('Data Mahasiswa'!$A$1:$J$701, MATCH('Data Status Pendaftar'!B108, 'Data Mahasiswa'!$A$1:$A$701, 0), 10)</f>
        <v>2.4791666666666665</v>
      </c>
      <c r="J108" s="5" t="str" cm="1">
        <f t="array" ref="J108">INDEX('Data Mahasiswa'!B108:I108,MATCH(MIN(VLOOKUP('Data Mahasiswa'!B108:I108,'Data Mahasiswa'!$N$27:$O$36,2,0)),VLOOKUP('Data Mahasiswa'!B108:I108,'Data Mahasiswa'!$N$27:$O$36,2,0),0))</f>
        <v>E</v>
      </c>
      <c r="K108" s="5" t="str">
        <f t="shared" si="5"/>
        <v>Tidak Eligible</v>
      </c>
    </row>
    <row r="109" spans="1:11" x14ac:dyDescent="0.3">
      <c r="A109" s="8">
        <v>108</v>
      </c>
      <c r="B109" s="8" t="s">
        <v>159</v>
      </c>
      <c r="C109" s="8" t="s">
        <v>886</v>
      </c>
      <c r="D109" s="8" t="s">
        <v>779</v>
      </c>
      <c r="E109" s="9">
        <f t="shared" si="3"/>
        <v>2025</v>
      </c>
      <c r="F109" s="8" t="str">
        <f>INDEX('Data Mahasiswa'!$N$1:$Q$14, MATCH(MID('Data Status Pendaftar'!B109, 5,2), 'Data Mahasiswa'!$N$1:$N$14,0),2)</f>
        <v>Ekonomi</v>
      </c>
      <c r="G109" s="8" t="str" cm="1">
        <f t="array" ref="G109">INDEX('Data Mahasiswa'!$Q$2:$Q$14, MATCH(MID('Data Status Pendaftar'!B109,5,3), 'Data Mahasiswa'!$N$2:$N$14&amp;TEXT('Data Mahasiswa'!$P$2:$P$14,"0"), 0))</f>
        <v>Manajemen</v>
      </c>
      <c r="H109" s="9">
        <f t="shared" ca="1" si="4"/>
        <v>2</v>
      </c>
      <c r="I109" s="10">
        <f>INDEX('Data Mahasiswa'!$A$1:$J$701, MATCH('Data Status Pendaftar'!B109, 'Data Mahasiswa'!$A$1:$A$701, 0), 10)</f>
        <v>3.0520833333333335</v>
      </c>
      <c r="J109" s="8" t="str" cm="1">
        <f t="array" ref="J109">INDEX('Data Mahasiswa'!B109:I109,MATCH(MIN(VLOOKUP('Data Mahasiswa'!B109:I109,'Data Mahasiswa'!$N$27:$O$36,2,0)),VLOOKUP('Data Mahasiswa'!B109:I109,'Data Mahasiswa'!$N$27:$O$36,2,0),0))</f>
        <v>E</v>
      </c>
      <c r="K109" s="8" t="str">
        <f t="shared" si="5"/>
        <v>Tidak Eligible</v>
      </c>
    </row>
    <row r="110" spans="1:11" x14ac:dyDescent="0.3">
      <c r="A110" s="5">
        <v>109</v>
      </c>
      <c r="B110" s="5" t="s">
        <v>160</v>
      </c>
      <c r="C110" s="5" t="s">
        <v>887</v>
      </c>
      <c r="D110" s="5" t="s">
        <v>779</v>
      </c>
      <c r="E110" s="6">
        <f t="shared" si="3"/>
        <v>2025</v>
      </c>
      <c r="F110" s="5" t="str">
        <f>INDEX('Data Mahasiswa'!$N$1:$Q$14, MATCH(MID('Data Status Pendaftar'!B110, 5,2), 'Data Mahasiswa'!$N$1:$N$14,0),2)</f>
        <v>Ekonomi</v>
      </c>
      <c r="G110" s="5" t="str" cm="1">
        <f t="array" ref="G110">INDEX('Data Mahasiswa'!$Q$2:$Q$14, MATCH(MID('Data Status Pendaftar'!B110,5,3), 'Data Mahasiswa'!$N$2:$N$14&amp;TEXT('Data Mahasiswa'!$P$2:$P$14,"0"), 0))</f>
        <v xml:space="preserve"> Akuntansi</v>
      </c>
      <c r="H110" s="6">
        <f t="shared" ca="1" si="4"/>
        <v>2</v>
      </c>
      <c r="I110" s="7">
        <f>INDEX('Data Mahasiswa'!$A$1:$J$701, MATCH('Data Status Pendaftar'!B110, 'Data Mahasiswa'!$A$1:$A$701, 0), 10)</f>
        <v>2.8333333333333335</v>
      </c>
      <c r="J110" s="5" t="str" cm="1">
        <f t="array" ref="J110">INDEX('Data Mahasiswa'!B110:I110,MATCH(MIN(VLOOKUP('Data Mahasiswa'!B110:I110,'Data Mahasiswa'!$N$27:$O$36,2,0)),VLOOKUP('Data Mahasiswa'!B110:I110,'Data Mahasiswa'!$N$27:$O$36,2,0),0))</f>
        <v>D</v>
      </c>
      <c r="K110" s="5" t="str">
        <f t="shared" si="5"/>
        <v>Tidak Eligible</v>
      </c>
    </row>
    <row r="111" spans="1:11" x14ac:dyDescent="0.3">
      <c r="A111" s="8">
        <v>110</v>
      </c>
      <c r="B111" s="8" t="s">
        <v>161</v>
      </c>
      <c r="C111" s="8" t="s">
        <v>888</v>
      </c>
      <c r="D111" s="8" t="s">
        <v>779</v>
      </c>
      <c r="E111" s="9">
        <f t="shared" si="3"/>
        <v>2025</v>
      </c>
      <c r="F111" s="8" t="str">
        <f>INDEX('Data Mahasiswa'!$N$1:$Q$14, MATCH(MID('Data Status Pendaftar'!B111, 5,2), 'Data Mahasiswa'!$N$1:$N$14,0),2)</f>
        <v>Ekonomi</v>
      </c>
      <c r="G111" s="8" t="str" cm="1">
        <f t="array" ref="G111">INDEX('Data Mahasiswa'!$Q$2:$Q$14, MATCH(MID('Data Status Pendaftar'!B111,5,3), 'Data Mahasiswa'!$N$2:$N$14&amp;TEXT('Data Mahasiswa'!$P$2:$P$14,"0"), 0))</f>
        <v xml:space="preserve"> Akuntansi</v>
      </c>
      <c r="H111" s="9">
        <f t="shared" ca="1" si="4"/>
        <v>2</v>
      </c>
      <c r="I111" s="10">
        <f>INDEX('Data Mahasiswa'!$A$1:$J$701, MATCH('Data Status Pendaftar'!B111, 'Data Mahasiswa'!$A$1:$A$701, 0), 10)</f>
        <v>3.5416666666666665</v>
      </c>
      <c r="J111" s="8" t="str" cm="1">
        <f t="array" ref="J111">INDEX('Data Mahasiswa'!B111:I111,MATCH(MIN(VLOOKUP('Data Mahasiswa'!B111:I111,'Data Mahasiswa'!$N$27:$O$36,2,0)),VLOOKUP('Data Mahasiswa'!B111:I111,'Data Mahasiswa'!$N$27:$O$36,2,0),0))</f>
        <v>B-</v>
      </c>
      <c r="K111" s="8" t="str">
        <f t="shared" si="5"/>
        <v>Eligible</v>
      </c>
    </row>
    <row r="112" spans="1:11" x14ac:dyDescent="0.3">
      <c r="A112" s="5">
        <v>111</v>
      </c>
      <c r="B112" s="5" t="s">
        <v>162</v>
      </c>
      <c r="C112" s="5" t="s">
        <v>889</v>
      </c>
      <c r="D112" s="5" t="s">
        <v>779</v>
      </c>
      <c r="E112" s="6">
        <f t="shared" si="3"/>
        <v>2025</v>
      </c>
      <c r="F112" s="5" t="str">
        <f>INDEX('Data Mahasiswa'!$N$1:$Q$14, MATCH(MID('Data Status Pendaftar'!B112, 5,2), 'Data Mahasiswa'!$N$1:$N$14,0),2)</f>
        <v>Ekonomi</v>
      </c>
      <c r="G112" s="5" t="str" cm="1">
        <f t="array" ref="G112">INDEX('Data Mahasiswa'!$Q$2:$Q$14, MATCH(MID('Data Status Pendaftar'!B112,5,3), 'Data Mahasiswa'!$N$2:$N$14&amp;TEXT('Data Mahasiswa'!$P$2:$P$14,"0"), 0))</f>
        <v xml:space="preserve"> Akuntansi</v>
      </c>
      <c r="H112" s="6">
        <f t="shared" ca="1" si="4"/>
        <v>2</v>
      </c>
      <c r="I112" s="7">
        <f>INDEX('Data Mahasiswa'!$A$1:$J$701, MATCH('Data Status Pendaftar'!B112, 'Data Mahasiswa'!$A$1:$A$701, 0), 10)</f>
        <v>3.3645833333333335</v>
      </c>
      <c r="J112" s="5" t="str" cm="1">
        <f t="array" ref="J112">INDEX('Data Mahasiswa'!B112:I112,MATCH(MIN(VLOOKUP('Data Mahasiswa'!B112:I112,'Data Mahasiswa'!$N$27:$O$36,2,0)),VLOOKUP('Data Mahasiswa'!B112:I112,'Data Mahasiswa'!$N$27:$O$36,2,0),0))</f>
        <v>C+</v>
      </c>
      <c r="K112" s="5" t="str">
        <f t="shared" si="5"/>
        <v>Eligible</v>
      </c>
    </row>
    <row r="113" spans="1:11" x14ac:dyDescent="0.3">
      <c r="A113" s="8">
        <v>112</v>
      </c>
      <c r="B113" s="8" t="s">
        <v>163</v>
      </c>
      <c r="C113" s="8" t="s">
        <v>890</v>
      </c>
      <c r="D113" s="8" t="s">
        <v>779</v>
      </c>
      <c r="E113" s="9">
        <f t="shared" si="3"/>
        <v>2025</v>
      </c>
      <c r="F113" s="8" t="str">
        <f>INDEX('Data Mahasiswa'!$N$1:$Q$14, MATCH(MID('Data Status Pendaftar'!B113, 5,2), 'Data Mahasiswa'!$N$1:$N$14,0),2)</f>
        <v>Ekonomi</v>
      </c>
      <c r="G113" s="8" t="str" cm="1">
        <f t="array" ref="G113">INDEX('Data Mahasiswa'!$Q$2:$Q$14, MATCH(MID('Data Status Pendaftar'!B113,5,3), 'Data Mahasiswa'!$N$2:$N$14&amp;TEXT('Data Mahasiswa'!$P$2:$P$14,"0"), 0))</f>
        <v xml:space="preserve"> Akuntansi</v>
      </c>
      <c r="H113" s="9">
        <f t="shared" ca="1" si="4"/>
        <v>2</v>
      </c>
      <c r="I113" s="10">
        <f>INDEX('Data Mahasiswa'!$A$1:$J$701, MATCH('Data Status Pendaftar'!B113, 'Data Mahasiswa'!$A$1:$A$701, 0), 10)</f>
        <v>3.4895833333333335</v>
      </c>
      <c r="J113" s="8" t="str" cm="1">
        <f t="array" ref="J113">INDEX('Data Mahasiswa'!B113:I113,MATCH(MIN(VLOOKUP('Data Mahasiswa'!B113:I113,'Data Mahasiswa'!$N$27:$O$36,2,0)),VLOOKUP('Data Mahasiswa'!B113:I113,'Data Mahasiswa'!$N$27:$O$36,2,0),0))</f>
        <v>B-</v>
      </c>
      <c r="K113" s="8" t="str">
        <f t="shared" si="5"/>
        <v>Eligible</v>
      </c>
    </row>
    <row r="114" spans="1:11" x14ac:dyDescent="0.3">
      <c r="A114" s="5">
        <v>113</v>
      </c>
      <c r="B114" s="5" t="s">
        <v>164</v>
      </c>
      <c r="C114" s="5" t="s">
        <v>891</v>
      </c>
      <c r="D114" s="5" t="s">
        <v>780</v>
      </c>
      <c r="E114" s="6">
        <f t="shared" si="3"/>
        <v>2025</v>
      </c>
      <c r="F114" s="5" t="str">
        <f>INDEX('Data Mahasiswa'!$N$1:$Q$14, MATCH(MID('Data Status Pendaftar'!B114, 5,2), 'Data Mahasiswa'!$N$1:$N$14,0),2)</f>
        <v>Ekonomi</v>
      </c>
      <c r="G114" s="5" t="str" cm="1">
        <f t="array" ref="G114">INDEX('Data Mahasiswa'!$Q$2:$Q$14, MATCH(MID('Data Status Pendaftar'!B114,5,3), 'Data Mahasiswa'!$N$2:$N$14&amp;TEXT('Data Mahasiswa'!$P$2:$P$14,"0"), 0))</f>
        <v xml:space="preserve"> Akuntansi</v>
      </c>
      <c r="H114" s="6">
        <f t="shared" ca="1" si="4"/>
        <v>2</v>
      </c>
      <c r="I114" s="7">
        <f>INDEX('Data Mahasiswa'!$A$1:$J$701, MATCH('Data Status Pendaftar'!B114, 'Data Mahasiswa'!$A$1:$A$701, 0), 10)</f>
        <v>3.1875</v>
      </c>
      <c r="J114" s="5" t="str" cm="1">
        <f t="array" ref="J114">INDEX('Data Mahasiswa'!B114:I114,MATCH(MIN(VLOOKUP('Data Mahasiswa'!B114:I114,'Data Mahasiswa'!$N$27:$O$36,2,0)),VLOOKUP('Data Mahasiswa'!B114:I114,'Data Mahasiswa'!$N$27:$O$36,2,0),0))</f>
        <v>D</v>
      </c>
      <c r="K114" s="5" t="str">
        <f t="shared" si="5"/>
        <v>Tidak Eligible</v>
      </c>
    </row>
    <row r="115" spans="1:11" x14ac:dyDescent="0.3">
      <c r="A115" s="8">
        <v>114</v>
      </c>
      <c r="B115" s="8" t="s">
        <v>165</v>
      </c>
      <c r="C115" s="8" t="s">
        <v>892</v>
      </c>
      <c r="D115" s="8" t="s">
        <v>780</v>
      </c>
      <c r="E115" s="9">
        <f t="shared" si="3"/>
        <v>2025</v>
      </c>
      <c r="F115" s="8" t="str">
        <f>INDEX('Data Mahasiswa'!$N$1:$Q$14, MATCH(MID('Data Status Pendaftar'!B115, 5,2), 'Data Mahasiswa'!$N$1:$N$14,0),2)</f>
        <v>Ekonomi</v>
      </c>
      <c r="G115" s="8" t="str" cm="1">
        <f t="array" ref="G115">INDEX('Data Mahasiswa'!$Q$2:$Q$14, MATCH(MID('Data Status Pendaftar'!B115,5,3), 'Data Mahasiswa'!$N$2:$N$14&amp;TEXT('Data Mahasiswa'!$P$2:$P$14,"0"), 0))</f>
        <v xml:space="preserve"> Akuntansi</v>
      </c>
      <c r="H115" s="9">
        <f t="shared" ca="1" si="4"/>
        <v>2</v>
      </c>
      <c r="I115" s="10">
        <f>INDEX('Data Mahasiswa'!$A$1:$J$701, MATCH('Data Status Pendaftar'!B115, 'Data Mahasiswa'!$A$1:$A$701, 0), 10)</f>
        <v>2.46875</v>
      </c>
      <c r="J115" s="8" t="str" cm="1">
        <f t="array" ref="J115">INDEX('Data Mahasiswa'!B115:I115,MATCH(MIN(VLOOKUP('Data Mahasiswa'!B115:I115,'Data Mahasiswa'!$N$27:$O$36,2,0)),VLOOKUP('Data Mahasiswa'!B115:I115,'Data Mahasiswa'!$N$27:$O$36,2,0),0))</f>
        <v>E</v>
      </c>
      <c r="K115" s="8" t="str">
        <f t="shared" si="5"/>
        <v>Tidak Eligible</v>
      </c>
    </row>
    <row r="116" spans="1:11" x14ac:dyDescent="0.3">
      <c r="A116" s="5">
        <v>115</v>
      </c>
      <c r="B116" s="5" t="s">
        <v>166</v>
      </c>
      <c r="C116" s="5" t="s">
        <v>893</v>
      </c>
      <c r="D116" s="5" t="s">
        <v>779</v>
      </c>
      <c r="E116" s="6">
        <f t="shared" si="3"/>
        <v>2025</v>
      </c>
      <c r="F116" s="5" t="str">
        <f>INDEX('Data Mahasiswa'!$N$1:$Q$14, MATCH(MID('Data Status Pendaftar'!B116, 5,2), 'Data Mahasiswa'!$N$1:$N$14,0),2)</f>
        <v>Ekonomi</v>
      </c>
      <c r="G116" s="5" t="str" cm="1">
        <f t="array" ref="G116">INDEX('Data Mahasiswa'!$Q$2:$Q$14, MATCH(MID('Data Status Pendaftar'!B116,5,3), 'Data Mahasiswa'!$N$2:$N$14&amp;TEXT('Data Mahasiswa'!$P$2:$P$14,"0"), 0))</f>
        <v xml:space="preserve"> Akuntansi</v>
      </c>
      <c r="H116" s="6">
        <f t="shared" ca="1" si="4"/>
        <v>2</v>
      </c>
      <c r="I116" s="7">
        <f>INDEX('Data Mahasiswa'!$A$1:$J$701, MATCH('Data Status Pendaftar'!B116, 'Data Mahasiswa'!$A$1:$A$701, 0), 10)</f>
        <v>3.1041666666666665</v>
      </c>
      <c r="J116" s="5" t="str" cm="1">
        <f t="array" ref="J116">INDEX('Data Mahasiswa'!B116:I116,MATCH(MIN(VLOOKUP('Data Mahasiswa'!B116:I116,'Data Mahasiswa'!$N$27:$O$36,2,0)),VLOOKUP('Data Mahasiswa'!B116:I116,'Data Mahasiswa'!$N$27:$O$36,2,0),0))</f>
        <v>C</v>
      </c>
      <c r="K116" s="5" t="str">
        <f t="shared" si="5"/>
        <v>Eligible</v>
      </c>
    </row>
    <row r="117" spans="1:11" x14ac:dyDescent="0.3">
      <c r="A117" s="8">
        <v>116</v>
      </c>
      <c r="B117" s="8" t="s">
        <v>167</v>
      </c>
      <c r="C117" s="8" t="s">
        <v>894</v>
      </c>
      <c r="D117" s="8" t="s">
        <v>780</v>
      </c>
      <c r="E117" s="9">
        <f t="shared" si="3"/>
        <v>2025</v>
      </c>
      <c r="F117" s="8" t="str">
        <f>INDEX('Data Mahasiswa'!$N$1:$Q$14, MATCH(MID('Data Status Pendaftar'!B117, 5,2), 'Data Mahasiswa'!$N$1:$N$14,0),2)</f>
        <v>Ekonomi</v>
      </c>
      <c r="G117" s="8" t="str" cm="1">
        <f t="array" ref="G117">INDEX('Data Mahasiswa'!$Q$2:$Q$14, MATCH(MID('Data Status Pendaftar'!B117,5,3), 'Data Mahasiswa'!$N$2:$N$14&amp;TEXT('Data Mahasiswa'!$P$2:$P$14,"0"), 0))</f>
        <v xml:space="preserve"> Akuntansi</v>
      </c>
      <c r="H117" s="9">
        <f t="shared" ca="1" si="4"/>
        <v>2</v>
      </c>
      <c r="I117" s="10">
        <f>INDEX('Data Mahasiswa'!$A$1:$J$701, MATCH('Data Status Pendaftar'!B117, 'Data Mahasiswa'!$A$1:$A$701, 0), 10)</f>
        <v>3.1666666666666665</v>
      </c>
      <c r="J117" s="8" t="str" cm="1">
        <f t="array" ref="J117">INDEX('Data Mahasiswa'!B117:I117,MATCH(MIN(VLOOKUP('Data Mahasiswa'!B117:I117,'Data Mahasiswa'!$N$27:$O$36,2,0)),VLOOKUP('Data Mahasiswa'!B117:I117,'Data Mahasiswa'!$N$27:$O$36,2,0),0))</f>
        <v>C</v>
      </c>
      <c r="K117" s="8" t="str">
        <f t="shared" si="5"/>
        <v>Eligible</v>
      </c>
    </row>
    <row r="118" spans="1:11" x14ac:dyDescent="0.3">
      <c r="A118" s="5">
        <v>117</v>
      </c>
      <c r="B118" s="5" t="s">
        <v>168</v>
      </c>
      <c r="C118" s="5" t="s">
        <v>895</v>
      </c>
      <c r="D118" s="5" t="s">
        <v>780</v>
      </c>
      <c r="E118" s="6">
        <f t="shared" si="3"/>
        <v>2025</v>
      </c>
      <c r="F118" s="5" t="str">
        <f>INDEX('Data Mahasiswa'!$N$1:$Q$14, MATCH(MID('Data Status Pendaftar'!B118, 5,2), 'Data Mahasiswa'!$N$1:$N$14,0),2)</f>
        <v>Ekonomi</v>
      </c>
      <c r="G118" s="5" t="str" cm="1">
        <f t="array" ref="G118">INDEX('Data Mahasiswa'!$Q$2:$Q$14, MATCH(MID('Data Status Pendaftar'!B118,5,3), 'Data Mahasiswa'!$N$2:$N$14&amp;TEXT('Data Mahasiswa'!$P$2:$P$14,"0"), 0))</f>
        <v xml:space="preserve"> Akuntansi</v>
      </c>
      <c r="H118" s="6">
        <f t="shared" ca="1" si="4"/>
        <v>2</v>
      </c>
      <c r="I118" s="7">
        <f>INDEX('Data Mahasiswa'!$A$1:$J$701, MATCH('Data Status Pendaftar'!B118, 'Data Mahasiswa'!$A$1:$A$701, 0), 10)</f>
        <v>2.96875</v>
      </c>
      <c r="J118" s="5" t="str" cm="1">
        <f t="array" ref="J118">INDEX('Data Mahasiswa'!B118:I118,MATCH(MIN(VLOOKUP('Data Mahasiswa'!B118:I118,'Data Mahasiswa'!$N$27:$O$36,2,0)),VLOOKUP('Data Mahasiswa'!B118:I118,'Data Mahasiswa'!$N$27:$O$36,2,0),0))</f>
        <v>D</v>
      </c>
      <c r="K118" s="5" t="str">
        <f t="shared" si="5"/>
        <v>Tidak Eligible</v>
      </c>
    </row>
    <row r="119" spans="1:11" x14ac:dyDescent="0.3">
      <c r="A119" s="8">
        <v>118</v>
      </c>
      <c r="B119" s="8" t="s">
        <v>169</v>
      </c>
      <c r="C119" s="8" t="s">
        <v>896</v>
      </c>
      <c r="D119" s="8" t="s">
        <v>780</v>
      </c>
      <c r="E119" s="9">
        <f t="shared" si="3"/>
        <v>2025</v>
      </c>
      <c r="F119" s="8" t="str">
        <f>INDEX('Data Mahasiswa'!$N$1:$Q$14, MATCH(MID('Data Status Pendaftar'!B119, 5,2), 'Data Mahasiswa'!$N$1:$N$14,0),2)</f>
        <v>Ekonomi</v>
      </c>
      <c r="G119" s="8" t="str" cm="1">
        <f t="array" ref="G119">INDEX('Data Mahasiswa'!$Q$2:$Q$14, MATCH(MID('Data Status Pendaftar'!B119,5,3), 'Data Mahasiswa'!$N$2:$N$14&amp;TEXT('Data Mahasiswa'!$P$2:$P$14,"0"), 0))</f>
        <v xml:space="preserve"> Akuntansi</v>
      </c>
      <c r="H119" s="9">
        <f t="shared" ca="1" si="4"/>
        <v>2</v>
      </c>
      <c r="I119" s="10">
        <f>INDEX('Data Mahasiswa'!$A$1:$J$701, MATCH('Data Status Pendaftar'!B119, 'Data Mahasiswa'!$A$1:$A$701, 0), 10)</f>
        <v>2.125</v>
      </c>
      <c r="J119" s="8" t="str" cm="1">
        <f t="array" ref="J119">INDEX('Data Mahasiswa'!B119:I119,MATCH(MIN(VLOOKUP('Data Mahasiswa'!B119:I119,'Data Mahasiswa'!$N$27:$O$36,2,0)),VLOOKUP('Data Mahasiswa'!B119:I119,'Data Mahasiswa'!$N$27:$O$36,2,0),0))</f>
        <v>E</v>
      </c>
      <c r="K119" s="8" t="str">
        <f t="shared" si="5"/>
        <v>Tidak Eligible</v>
      </c>
    </row>
    <row r="120" spans="1:11" x14ac:dyDescent="0.3">
      <c r="A120" s="5">
        <v>119</v>
      </c>
      <c r="B120" s="5" t="s">
        <v>170</v>
      </c>
      <c r="C120" s="5" t="s">
        <v>897</v>
      </c>
      <c r="D120" s="5" t="s">
        <v>780</v>
      </c>
      <c r="E120" s="6">
        <f t="shared" si="3"/>
        <v>2025</v>
      </c>
      <c r="F120" s="5" t="str">
        <f>INDEX('Data Mahasiswa'!$N$1:$Q$14, MATCH(MID('Data Status Pendaftar'!B120, 5,2), 'Data Mahasiswa'!$N$1:$N$14,0),2)</f>
        <v>Ekonomi</v>
      </c>
      <c r="G120" s="5" t="str" cm="1">
        <f t="array" ref="G120">INDEX('Data Mahasiswa'!$Q$2:$Q$14, MATCH(MID('Data Status Pendaftar'!B120,5,3), 'Data Mahasiswa'!$N$2:$N$14&amp;TEXT('Data Mahasiswa'!$P$2:$P$14,"0"), 0))</f>
        <v xml:space="preserve"> Akuntansi</v>
      </c>
      <c r="H120" s="6">
        <f t="shared" ca="1" si="4"/>
        <v>2</v>
      </c>
      <c r="I120" s="7">
        <f>INDEX('Data Mahasiswa'!$A$1:$J$701, MATCH('Data Status Pendaftar'!B120, 'Data Mahasiswa'!$A$1:$A$701, 0), 10)</f>
        <v>3.15625</v>
      </c>
      <c r="J120" s="5" t="str" cm="1">
        <f t="array" ref="J120">INDEX('Data Mahasiswa'!B120:I120,MATCH(MIN(VLOOKUP('Data Mahasiswa'!B120:I120,'Data Mahasiswa'!$N$27:$O$36,2,0)),VLOOKUP('Data Mahasiswa'!B120:I120,'Data Mahasiswa'!$N$27:$O$36,2,0),0))</f>
        <v>C+</v>
      </c>
      <c r="K120" s="5" t="str">
        <f t="shared" si="5"/>
        <v>Eligible</v>
      </c>
    </row>
    <row r="121" spans="1:11" x14ac:dyDescent="0.3">
      <c r="A121" s="8">
        <v>120</v>
      </c>
      <c r="B121" s="8" t="s">
        <v>171</v>
      </c>
      <c r="C121" s="8" t="s">
        <v>898</v>
      </c>
      <c r="D121" s="8" t="s">
        <v>779</v>
      </c>
      <c r="E121" s="9">
        <f t="shared" si="3"/>
        <v>2025</v>
      </c>
      <c r="F121" s="8" t="str">
        <f>INDEX('Data Mahasiswa'!$N$1:$Q$14, MATCH(MID('Data Status Pendaftar'!B121, 5,2), 'Data Mahasiswa'!$N$1:$N$14,0),2)</f>
        <v>Ekonomi</v>
      </c>
      <c r="G121" s="8" t="str" cm="1">
        <f t="array" ref="G121">INDEX('Data Mahasiswa'!$Q$2:$Q$14, MATCH(MID('Data Status Pendaftar'!B121,5,3), 'Data Mahasiswa'!$N$2:$N$14&amp;TEXT('Data Mahasiswa'!$P$2:$P$14,"0"), 0))</f>
        <v xml:space="preserve"> Akuntansi</v>
      </c>
      <c r="H121" s="9">
        <f t="shared" ca="1" si="4"/>
        <v>2</v>
      </c>
      <c r="I121" s="10">
        <f>INDEX('Data Mahasiswa'!$A$1:$J$701, MATCH('Data Status Pendaftar'!B121, 'Data Mahasiswa'!$A$1:$A$701, 0), 10)</f>
        <v>3.21875</v>
      </c>
      <c r="J121" s="8" t="str" cm="1">
        <f t="array" ref="J121">INDEX('Data Mahasiswa'!B121:I121,MATCH(MIN(VLOOKUP('Data Mahasiswa'!B121:I121,'Data Mahasiswa'!$N$27:$O$36,2,0)),VLOOKUP('Data Mahasiswa'!B121:I121,'Data Mahasiswa'!$N$27:$O$36,2,0),0))</f>
        <v>C</v>
      </c>
      <c r="K121" s="8" t="str">
        <f t="shared" si="5"/>
        <v>Eligible</v>
      </c>
    </row>
    <row r="122" spans="1:11" x14ac:dyDescent="0.3">
      <c r="A122" s="5">
        <v>121</v>
      </c>
      <c r="B122" s="5" t="s">
        <v>172</v>
      </c>
      <c r="C122" s="5" t="s">
        <v>899</v>
      </c>
      <c r="D122" s="5" t="s">
        <v>780</v>
      </c>
      <c r="E122" s="6">
        <f t="shared" si="3"/>
        <v>2025</v>
      </c>
      <c r="F122" s="5" t="str">
        <f>INDEX('Data Mahasiswa'!$N$1:$Q$14, MATCH(MID('Data Status Pendaftar'!B122, 5,2), 'Data Mahasiswa'!$N$1:$N$14,0),2)</f>
        <v>Ekonomi</v>
      </c>
      <c r="G122" s="5" t="str" cm="1">
        <f t="array" ref="G122">INDEX('Data Mahasiswa'!$Q$2:$Q$14, MATCH(MID('Data Status Pendaftar'!B122,5,3), 'Data Mahasiswa'!$N$2:$N$14&amp;TEXT('Data Mahasiswa'!$P$2:$P$14,"0"), 0))</f>
        <v xml:space="preserve"> Akuntansi</v>
      </c>
      <c r="H122" s="6">
        <f t="shared" ca="1" si="4"/>
        <v>2</v>
      </c>
      <c r="I122" s="7">
        <f>INDEX('Data Mahasiswa'!$A$1:$J$701, MATCH('Data Status Pendaftar'!B122, 'Data Mahasiswa'!$A$1:$A$701, 0), 10)</f>
        <v>3.2916666666666665</v>
      </c>
      <c r="J122" s="5" t="str" cm="1">
        <f t="array" ref="J122">INDEX('Data Mahasiswa'!B122:I122,MATCH(MIN(VLOOKUP('Data Mahasiswa'!B122:I122,'Data Mahasiswa'!$N$27:$O$36,2,0)),VLOOKUP('Data Mahasiswa'!B122:I122,'Data Mahasiswa'!$N$27:$O$36,2,0),0))</f>
        <v>C+</v>
      </c>
      <c r="K122" s="5" t="str">
        <f t="shared" si="5"/>
        <v>Eligible</v>
      </c>
    </row>
    <row r="123" spans="1:11" x14ac:dyDescent="0.3">
      <c r="A123" s="8">
        <v>122</v>
      </c>
      <c r="B123" s="8" t="s">
        <v>173</v>
      </c>
      <c r="C123" s="8" t="s">
        <v>900</v>
      </c>
      <c r="D123" s="8" t="s">
        <v>780</v>
      </c>
      <c r="E123" s="9">
        <f t="shared" si="3"/>
        <v>2025</v>
      </c>
      <c r="F123" s="8" t="str">
        <f>INDEX('Data Mahasiswa'!$N$1:$Q$14, MATCH(MID('Data Status Pendaftar'!B123, 5,2), 'Data Mahasiswa'!$N$1:$N$14,0),2)</f>
        <v>Ekonomi</v>
      </c>
      <c r="G123" s="8" t="str" cm="1">
        <f t="array" ref="G123">INDEX('Data Mahasiswa'!$Q$2:$Q$14, MATCH(MID('Data Status Pendaftar'!B123,5,3), 'Data Mahasiswa'!$N$2:$N$14&amp;TEXT('Data Mahasiswa'!$P$2:$P$14,"0"), 0))</f>
        <v xml:space="preserve"> Akuntansi</v>
      </c>
      <c r="H123" s="9">
        <f t="shared" ca="1" si="4"/>
        <v>2</v>
      </c>
      <c r="I123" s="10">
        <f>INDEX('Data Mahasiswa'!$A$1:$J$701, MATCH('Data Status Pendaftar'!B123, 'Data Mahasiswa'!$A$1:$A$701, 0), 10)</f>
        <v>3.2916666666666665</v>
      </c>
      <c r="J123" s="8" t="str" cm="1">
        <f t="array" ref="J123">INDEX('Data Mahasiswa'!B123:I123,MATCH(MIN(VLOOKUP('Data Mahasiswa'!B123:I123,'Data Mahasiswa'!$N$27:$O$36,2,0)),VLOOKUP('Data Mahasiswa'!B123:I123,'Data Mahasiswa'!$N$27:$O$36,2,0),0))</f>
        <v>B-</v>
      </c>
      <c r="K123" s="8" t="str">
        <f t="shared" si="5"/>
        <v>Eligible</v>
      </c>
    </row>
    <row r="124" spans="1:11" x14ac:dyDescent="0.3">
      <c r="A124" s="5">
        <v>123</v>
      </c>
      <c r="B124" s="5" t="s">
        <v>174</v>
      </c>
      <c r="C124" s="5" t="s">
        <v>901</v>
      </c>
      <c r="D124" s="5" t="s">
        <v>779</v>
      </c>
      <c r="E124" s="6">
        <f t="shared" si="3"/>
        <v>2025</v>
      </c>
      <c r="F124" s="5" t="str">
        <f>INDEX('Data Mahasiswa'!$N$1:$Q$14, MATCH(MID('Data Status Pendaftar'!B124, 5,2), 'Data Mahasiswa'!$N$1:$N$14,0),2)</f>
        <v>Ekonomi</v>
      </c>
      <c r="G124" s="5" t="str" cm="1">
        <f t="array" ref="G124">INDEX('Data Mahasiswa'!$Q$2:$Q$14, MATCH(MID('Data Status Pendaftar'!B124,5,3), 'Data Mahasiswa'!$N$2:$N$14&amp;TEXT('Data Mahasiswa'!$P$2:$P$14,"0"), 0))</f>
        <v xml:space="preserve"> Akuntansi</v>
      </c>
      <c r="H124" s="6">
        <f t="shared" ca="1" si="4"/>
        <v>2</v>
      </c>
      <c r="I124" s="7">
        <f>INDEX('Data Mahasiswa'!$A$1:$J$701, MATCH('Data Status Pendaftar'!B124, 'Data Mahasiswa'!$A$1:$A$701, 0), 10)</f>
        <v>3.3020833333333335</v>
      </c>
      <c r="J124" s="5" t="str" cm="1">
        <f t="array" ref="J124">INDEX('Data Mahasiswa'!B124:I124,MATCH(MIN(VLOOKUP('Data Mahasiswa'!B124:I124,'Data Mahasiswa'!$N$27:$O$36,2,0)),VLOOKUP('Data Mahasiswa'!B124:I124,'Data Mahasiswa'!$N$27:$O$36,2,0),0))</f>
        <v>C+</v>
      </c>
      <c r="K124" s="5" t="str">
        <f t="shared" si="5"/>
        <v>Eligible</v>
      </c>
    </row>
    <row r="125" spans="1:11" x14ac:dyDescent="0.3">
      <c r="A125" s="8">
        <v>124</v>
      </c>
      <c r="B125" s="8" t="s">
        <v>175</v>
      </c>
      <c r="C125" s="8" t="s">
        <v>902</v>
      </c>
      <c r="D125" s="8" t="s">
        <v>779</v>
      </c>
      <c r="E125" s="9">
        <f t="shared" si="3"/>
        <v>2025</v>
      </c>
      <c r="F125" s="8" t="str">
        <f>INDEX('Data Mahasiswa'!$N$1:$Q$14, MATCH(MID('Data Status Pendaftar'!B125, 5,2), 'Data Mahasiswa'!$N$1:$N$14,0),2)</f>
        <v>Ekonomi</v>
      </c>
      <c r="G125" s="8" t="str" cm="1">
        <f t="array" ref="G125">INDEX('Data Mahasiswa'!$Q$2:$Q$14, MATCH(MID('Data Status Pendaftar'!B125,5,3), 'Data Mahasiswa'!$N$2:$N$14&amp;TEXT('Data Mahasiswa'!$P$2:$P$14,"0"), 0))</f>
        <v xml:space="preserve"> Akuntansi</v>
      </c>
      <c r="H125" s="9">
        <f t="shared" ca="1" si="4"/>
        <v>2</v>
      </c>
      <c r="I125" s="10">
        <f>INDEX('Data Mahasiswa'!$A$1:$J$701, MATCH('Data Status Pendaftar'!B125, 'Data Mahasiswa'!$A$1:$A$701, 0), 10)</f>
        <v>3.6041666666666665</v>
      </c>
      <c r="J125" s="8" t="str" cm="1">
        <f t="array" ref="J125">INDEX('Data Mahasiswa'!B125:I125,MATCH(MIN(VLOOKUP('Data Mahasiswa'!B125:I125,'Data Mahasiswa'!$N$27:$O$36,2,0)),VLOOKUP('Data Mahasiswa'!B125:I125,'Data Mahasiswa'!$N$27:$O$36,2,0),0))</f>
        <v>B</v>
      </c>
      <c r="K125" s="8" t="str">
        <f t="shared" si="5"/>
        <v>Eligible</v>
      </c>
    </row>
    <row r="126" spans="1:11" x14ac:dyDescent="0.3">
      <c r="A126" s="5">
        <v>125</v>
      </c>
      <c r="B126" s="5" t="s">
        <v>176</v>
      </c>
      <c r="C126" s="5" t="s">
        <v>903</v>
      </c>
      <c r="D126" s="5" t="s">
        <v>780</v>
      </c>
      <c r="E126" s="6">
        <f t="shared" si="3"/>
        <v>2025</v>
      </c>
      <c r="F126" s="5" t="str">
        <f>INDEX('Data Mahasiswa'!$N$1:$Q$14, MATCH(MID('Data Status Pendaftar'!B126, 5,2), 'Data Mahasiswa'!$N$1:$N$14,0),2)</f>
        <v>Ekonomi</v>
      </c>
      <c r="G126" s="5" t="str" cm="1">
        <f t="array" ref="G126">INDEX('Data Mahasiswa'!$Q$2:$Q$14, MATCH(MID('Data Status Pendaftar'!B126,5,3), 'Data Mahasiswa'!$N$2:$N$14&amp;TEXT('Data Mahasiswa'!$P$2:$P$14,"0"), 0))</f>
        <v xml:space="preserve"> Akuntansi</v>
      </c>
      <c r="H126" s="6">
        <f t="shared" ca="1" si="4"/>
        <v>2</v>
      </c>
      <c r="I126" s="7">
        <f>INDEX('Data Mahasiswa'!$A$1:$J$701, MATCH('Data Status Pendaftar'!B126, 'Data Mahasiswa'!$A$1:$A$701, 0), 10)</f>
        <v>3.2083333333333335</v>
      </c>
      <c r="J126" s="5" t="str" cm="1">
        <f t="array" ref="J126">INDEX('Data Mahasiswa'!B126:I126,MATCH(MIN(VLOOKUP('Data Mahasiswa'!B126:I126,'Data Mahasiswa'!$N$27:$O$36,2,0)),VLOOKUP('Data Mahasiswa'!B126:I126,'Data Mahasiswa'!$N$27:$O$36,2,0),0))</f>
        <v>C+</v>
      </c>
      <c r="K126" s="5" t="str">
        <f t="shared" si="5"/>
        <v>Eligible</v>
      </c>
    </row>
    <row r="127" spans="1:11" x14ac:dyDescent="0.3">
      <c r="A127" s="8">
        <v>126</v>
      </c>
      <c r="B127" s="8" t="s">
        <v>177</v>
      </c>
      <c r="C127" s="8" t="s">
        <v>904</v>
      </c>
      <c r="D127" s="8" t="s">
        <v>780</v>
      </c>
      <c r="E127" s="9">
        <f t="shared" si="3"/>
        <v>2025</v>
      </c>
      <c r="F127" s="8" t="str">
        <f>INDEX('Data Mahasiswa'!$N$1:$Q$14, MATCH(MID('Data Status Pendaftar'!B127, 5,2), 'Data Mahasiswa'!$N$1:$N$14,0),2)</f>
        <v>Ekonomi</v>
      </c>
      <c r="G127" s="8" t="str" cm="1">
        <f t="array" ref="G127">INDEX('Data Mahasiswa'!$Q$2:$Q$14, MATCH(MID('Data Status Pendaftar'!B127,5,3), 'Data Mahasiswa'!$N$2:$N$14&amp;TEXT('Data Mahasiswa'!$P$2:$P$14,"0"), 0))</f>
        <v xml:space="preserve"> Akuntansi</v>
      </c>
      <c r="H127" s="9">
        <f t="shared" ca="1" si="4"/>
        <v>2</v>
      </c>
      <c r="I127" s="10">
        <f>INDEX('Data Mahasiswa'!$A$1:$J$701, MATCH('Data Status Pendaftar'!B127, 'Data Mahasiswa'!$A$1:$A$701, 0), 10)</f>
        <v>1.90625</v>
      </c>
      <c r="J127" s="8" t="str" cm="1">
        <f t="array" ref="J127">INDEX('Data Mahasiswa'!B127:I127,MATCH(MIN(VLOOKUP('Data Mahasiswa'!B127:I127,'Data Mahasiswa'!$N$27:$O$36,2,0)),VLOOKUP('Data Mahasiswa'!B127:I127,'Data Mahasiswa'!$N$27:$O$36,2,0),0))</f>
        <v>E</v>
      </c>
      <c r="K127" s="8" t="str">
        <f t="shared" si="5"/>
        <v>Tidak Eligible</v>
      </c>
    </row>
    <row r="128" spans="1:11" x14ac:dyDescent="0.3">
      <c r="A128" s="5">
        <v>127</v>
      </c>
      <c r="B128" s="5" t="s">
        <v>178</v>
      </c>
      <c r="C128" s="5" t="s">
        <v>905</v>
      </c>
      <c r="D128" s="5" t="s">
        <v>780</v>
      </c>
      <c r="E128" s="6">
        <f t="shared" si="3"/>
        <v>2025</v>
      </c>
      <c r="F128" s="5" t="str">
        <f>INDEX('Data Mahasiswa'!$N$1:$Q$14, MATCH(MID('Data Status Pendaftar'!B128, 5,2), 'Data Mahasiswa'!$N$1:$N$14,0),2)</f>
        <v>Ekonomi</v>
      </c>
      <c r="G128" s="5" t="str" cm="1">
        <f t="array" ref="G128">INDEX('Data Mahasiswa'!$Q$2:$Q$14, MATCH(MID('Data Status Pendaftar'!B128,5,3), 'Data Mahasiswa'!$N$2:$N$14&amp;TEXT('Data Mahasiswa'!$P$2:$P$14,"0"), 0))</f>
        <v xml:space="preserve"> Akuntansi</v>
      </c>
      <c r="H128" s="6">
        <f t="shared" ca="1" si="4"/>
        <v>2</v>
      </c>
      <c r="I128" s="7">
        <f>INDEX('Data Mahasiswa'!$A$1:$J$701, MATCH('Data Status Pendaftar'!B128, 'Data Mahasiswa'!$A$1:$A$701, 0), 10)</f>
        <v>2.6770833333333335</v>
      </c>
      <c r="J128" s="5" t="str" cm="1">
        <f t="array" ref="J128">INDEX('Data Mahasiswa'!B128:I128,MATCH(MIN(VLOOKUP('Data Mahasiswa'!B128:I128,'Data Mahasiswa'!$N$27:$O$36,2,0)),VLOOKUP('Data Mahasiswa'!B128:I128,'Data Mahasiswa'!$N$27:$O$36,2,0),0))</f>
        <v>D</v>
      </c>
      <c r="K128" s="5" t="str">
        <f t="shared" si="5"/>
        <v>Tidak Eligible</v>
      </c>
    </row>
    <row r="129" spans="1:11" x14ac:dyDescent="0.3">
      <c r="A129" s="8">
        <v>128</v>
      </c>
      <c r="B129" s="8" t="s">
        <v>179</v>
      </c>
      <c r="C129" s="8" t="s">
        <v>906</v>
      </c>
      <c r="D129" s="8" t="s">
        <v>779</v>
      </c>
      <c r="E129" s="9">
        <f t="shared" si="3"/>
        <v>2025</v>
      </c>
      <c r="F129" s="8" t="str">
        <f>INDEX('Data Mahasiswa'!$N$1:$Q$14, MATCH(MID('Data Status Pendaftar'!B129, 5,2), 'Data Mahasiswa'!$N$1:$N$14,0),2)</f>
        <v>Ekonomi</v>
      </c>
      <c r="G129" s="8" t="str" cm="1">
        <f t="array" ref="G129">INDEX('Data Mahasiswa'!$Q$2:$Q$14, MATCH(MID('Data Status Pendaftar'!B129,5,3), 'Data Mahasiswa'!$N$2:$N$14&amp;TEXT('Data Mahasiswa'!$P$2:$P$14,"0"), 0))</f>
        <v xml:space="preserve"> Akuntansi</v>
      </c>
      <c r="H129" s="9">
        <f t="shared" ca="1" si="4"/>
        <v>2</v>
      </c>
      <c r="I129" s="10">
        <f>INDEX('Data Mahasiswa'!$A$1:$J$701, MATCH('Data Status Pendaftar'!B129, 'Data Mahasiswa'!$A$1:$A$701, 0), 10)</f>
        <v>2.9270833333333335</v>
      </c>
      <c r="J129" s="8" t="str" cm="1">
        <f t="array" ref="J129">INDEX('Data Mahasiswa'!B129:I129,MATCH(MIN(VLOOKUP('Data Mahasiswa'!B129:I129,'Data Mahasiswa'!$N$27:$O$36,2,0)),VLOOKUP('Data Mahasiswa'!B129:I129,'Data Mahasiswa'!$N$27:$O$36,2,0),0))</f>
        <v>C</v>
      </c>
      <c r="K129" s="8" t="str">
        <f t="shared" si="5"/>
        <v>Eligible</v>
      </c>
    </row>
    <row r="130" spans="1:11" x14ac:dyDescent="0.3">
      <c r="A130" s="5">
        <v>129</v>
      </c>
      <c r="B130" s="5" t="s">
        <v>180</v>
      </c>
      <c r="C130" s="5" t="s">
        <v>830</v>
      </c>
      <c r="D130" s="5" t="s">
        <v>779</v>
      </c>
      <c r="E130" s="6">
        <f t="shared" si="3"/>
        <v>2025</v>
      </c>
      <c r="F130" s="5" t="str">
        <f>INDEX('Data Mahasiswa'!$N$1:$Q$14, MATCH(MID('Data Status Pendaftar'!B130, 5,2), 'Data Mahasiswa'!$N$1:$N$14,0),2)</f>
        <v>Ekonomi</v>
      </c>
      <c r="G130" s="5" t="str" cm="1">
        <f t="array" ref="G130">INDEX('Data Mahasiswa'!$Q$2:$Q$14, MATCH(MID('Data Status Pendaftar'!B130,5,3), 'Data Mahasiswa'!$N$2:$N$14&amp;TEXT('Data Mahasiswa'!$P$2:$P$14,"0"), 0))</f>
        <v xml:space="preserve"> Akuntansi</v>
      </c>
      <c r="H130" s="6">
        <f t="shared" ca="1" si="4"/>
        <v>2</v>
      </c>
      <c r="I130" s="7">
        <f>INDEX('Data Mahasiswa'!$A$1:$J$701, MATCH('Data Status Pendaftar'!B130, 'Data Mahasiswa'!$A$1:$A$701, 0), 10)</f>
        <v>3.21875</v>
      </c>
      <c r="J130" s="5" t="str" cm="1">
        <f t="array" ref="J130">INDEX('Data Mahasiswa'!B130:I130,MATCH(MIN(VLOOKUP('Data Mahasiswa'!B130:I130,'Data Mahasiswa'!$N$27:$O$36,2,0)),VLOOKUP('Data Mahasiswa'!B130:I130,'Data Mahasiswa'!$N$27:$O$36,2,0),0))</f>
        <v>D</v>
      </c>
      <c r="K130" s="5" t="str">
        <f t="shared" si="5"/>
        <v>Tidak Eligible</v>
      </c>
    </row>
    <row r="131" spans="1:11" x14ac:dyDescent="0.3">
      <c r="A131" s="8">
        <v>130</v>
      </c>
      <c r="B131" s="8" t="s">
        <v>181</v>
      </c>
      <c r="C131" s="8" t="s">
        <v>907</v>
      </c>
      <c r="D131" s="8" t="s">
        <v>780</v>
      </c>
      <c r="E131" s="9">
        <f t="shared" ref="E131:E194" si="6">LEFT(B131,2)+2000</f>
        <v>2025</v>
      </c>
      <c r="F131" s="8" t="str">
        <f>INDEX('Data Mahasiswa'!$N$1:$Q$14, MATCH(MID('Data Status Pendaftar'!B131, 5,2), 'Data Mahasiswa'!$N$1:$N$14,0),2)</f>
        <v>Ekonomi</v>
      </c>
      <c r="G131" s="8" t="str" cm="1">
        <f t="array" ref="G131">INDEX('Data Mahasiswa'!$Q$2:$Q$14, MATCH(MID('Data Status Pendaftar'!B131,5,3), 'Data Mahasiswa'!$N$2:$N$14&amp;TEXT('Data Mahasiswa'!$P$2:$P$14,"0"), 0))</f>
        <v xml:space="preserve"> Akuntansi</v>
      </c>
      <c r="H131" s="9">
        <f t="shared" ref="H131:H194" ca="1" si="7">(YEAR(TODAY())-E131)*2</f>
        <v>2</v>
      </c>
      <c r="I131" s="10">
        <f>INDEX('Data Mahasiswa'!$A$1:$J$701, MATCH('Data Status Pendaftar'!B131, 'Data Mahasiswa'!$A$1:$A$701, 0), 10)</f>
        <v>2.9270833333333335</v>
      </c>
      <c r="J131" s="8" t="str" cm="1">
        <f t="array" ref="J131">INDEX('Data Mahasiswa'!B131:I131,MATCH(MIN(VLOOKUP('Data Mahasiswa'!B131:I131,'Data Mahasiswa'!$N$27:$O$36,2,0)),VLOOKUP('Data Mahasiswa'!B131:I131,'Data Mahasiswa'!$N$27:$O$36,2,0),0))</f>
        <v>C</v>
      </c>
      <c r="K131" s="8" t="str">
        <f t="shared" ref="K131:K194" si="8">IF(AND(E131=2025,I131&gt;=2.75,OR(J131="A",J131="A-",J131="B+",J131="B",J131="B-",J131="C+",J131="C",J131="C-")),"Eligible","Tidak Eligible")</f>
        <v>Eligible</v>
      </c>
    </row>
    <row r="132" spans="1:11" x14ac:dyDescent="0.3">
      <c r="A132" s="5">
        <v>131</v>
      </c>
      <c r="B132" s="5" t="s">
        <v>182</v>
      </c>
      <c r="C132" s="5" t="s">
        <v>908</v>
      </c>
      <c r="D132" s="5" t="s">
        <v>779</v>
      </c>
      <c r="E132" s="6">
        <f t="shared" si="6"/>
        <v>2025</v>
      </c>
      <c r="F132" s="5" t="str">
        <f>INDEX('Data Mahasiswa'!$N$1:$Q$14, MATCH(MID('Data Status Pendaftar'!B132, 5,2), 'Data Mahasiswa'!$N$1:$N$14,0),2)</f>
        <v>Ekonomi</v>
      </c>
      <c r="G132" s="5" t="str" cm="1">
        <f t="array" ref="G132">INDEX('Data Mahasiswa'!$Q$2:$Q$14, MATCH(MID('Data Status Pendaftar'!B132,5,3), 'Data Mahasiswa'!$N$2:$N$14&amp;TEXT('Data Mahasiswa'!$P$2:$P$14,"0"), 0))</f>
        <v>Ekonomi Pembangunan</v>
      </c>
      <c r="H132" s="6">
        <f t="shared" ca="1" si="7"/>
        <v>2</v>
      </c>
      <c r="I132" s="7">
        <f>INDEX('Data Mahasiswa'!$A$1:$J$701, MATCH('Data Status Pendaftar'!B132, 'Data Mahasiswa'!$A$1:$A$701, 0), 10)</f>
        <v>2.625</v>
      </c>
      <c r="J132" s="5" t="str" cm="1">
        <f t="array" ref="J132">INDEX('Data Mahasiswa'!B132:I132,MATCH(MIN(VLOOKUP('Data Mahasiswa'!B132:I132,'Data Mahasiswa'!$N$27:$O$36,2,0)),VLOOKUP('Data Mahasiswa'!B132:I132,'Data Mahasiswa'!$N$27:$O$36,2,0),0))</f>
        <v>E</v>
      </c>
      <c r="K132" s="5" t="str">
        <f t="shared" si="8"/>
        <v>Tidak Eligible</v>
      </c>
    </row>
    <row r="133" spans="1:11" x14ac:dyDescent="0.3">
      <c r="A133" s="8">
        <v>132</v>
      </c>
      <c r="B133" s="8" t="s">
        <v>183</v>
      </c>
      <c r="C133" s="8" t="s">
        <v>909</v>
      </c>
      <c r="D133" s="8" t="s">
        <v>779</v>
      </c>
      <c r="E133" s="9">
        <f t="shared" si="6"/>
        <v>2025</v>
      </c>
      <c r="F133" s="8" t="str">
        <f>INDEX('Data Mahasiswa'!$N$1:$Q$14, MATCH(MID('Data Status Pendaftar'!B133, 5,2), 'Data Mahasiswa'!$N$1:$N$14,0),2)</f>
        <v>Ekonomi</v>
      </c>
      <c r="G133" s="8" t="str" cm="1">
        <f t="array" ref="G133">INDEX('Data Mahasiswa'!$Q$2:$Q$14, MATCH(MID('Data Status Pendaftar'!B133,5,3), 'Data Mahasiswa'!$N$2:$N$14&amp;TEXT('Data Mahasiswa'!$P$2:$P$14,"0"), 0))</f>
        <v>Ekonomi Pembangunan</v>
      </c>
      <c r="H133" s="9">
        <f t="shared" ca="1" si="7"/>
        <v>2</v>
      </c>
      <c r="I133" s="10">
        <f>INDEX('Data Mahasiswa'!$A$1:$J$701, MATCH('Data Status Pendaftar'!B133, 'Data Mahasiswa'!$A$1:$A$701, 0), 10)</f>
        <v>2.9791666666666665</v>
      </c>
      <c r="J133" s="8" t="str" cm="1">
        <f t="array" ref="J133">INDEX('Data Mahasiswa'!B133:I133,MATCH(MIN(VLOOKUP('Data Mahasiswa'!B133:I133,'Data Mahasiswa'!$N$27:$O$36,2,0)),VLOOKUP('Data Mahasiswa'!B133:I133,'Data Mahasiswa'!$N$27:$O$36,2,0),0))</f>
        <v>E</v>
      </c>
      <c r="K133" s="8" t="str">
        <f t="shared" si="8"/>
        <v>Tidak Eligible</v>
      </c>
    </row>
    <row r="134" spans="1:11" x14ac:dyDescent="0.3">
      <c r="A134" s="5">
        <v>133</v>
      </c>
      <c r="B134" s="5" t="s">
        <v>184</v>
      </c>
      <c r="C134" s="5" t="s">
        <v>910</v>
      </c>
      <c r="D134" s="5" t="s">
        <v>780</v>
      </c>
      <c r="E134" s="6">
        <f t="shared" si="6"/>
        <v>2025</v>
      </c>
      <c r="F134" s="5" t="str">
        <f>INDEX('Data Mahasiswa'!$N$1:$Q$14, MATCH(MID('Data Status Pendaftar'!B134, 5,2), 'Data Mahasiswa'!$N$1:$N$14,0),2)</f>
        <v>Ekonomi</v>
      </c>
      <c r="G134" s="5" t="str" cm="1">
        <f t="array" ref="G134">INDEX('Data Mahasiswa'!$Q$2:$Q$14, MATCH(MID('Data Status Pendaftar'!B134,5,3), 'Data Mahasiswa'!$N$2:$N$14&amp;TEXT('Data Mahasiswa'!$P$2:$P$14,"0"), 0))</f>
        <v>Ekonomi Pembangunan</v>
      </c>
      <c r="H134" s="6">
        <f t="shared" ca="1" si="7"/>
        <v>2</v>
      </c>
      <c r="I134" s="7">
        <f>INDEX('Data Mahasiswa'!$A$1:$J$701, MATCH('Data Status Pendaftar'!B134, 'Data Mahasiswa'!$A$1:$A$701, 0), 10)</f>
        <v>2.8645833333333335</v>
      </c>
      <c r="J134" s="5" t="str" cm="1">
        <f t="array" ref="J134">INDEX('Data Mahasiswa'!B134:I134,MATCH(MIN(VLOOKUP('Data Mahasiswa'!B134:I134,'Data Mahasiswa'!$N$27:$O$36,2,0)),VLOOKUP('Data Mahasiswa'!B134:I134,'Data Mahasiswa'!$N$27:$O$36,2,0),0))</f>
        <v>E</v>
      </c>
      <c r="K134" s="5" t="str">
        <f t="shared" si="8"/>
        <v>Tidak Eligible</v>
      </c>
    </row>
    <row r="135" spans="1:11" x14ac:dyDescent="0.3">
      <c r="A135" s="8">
        <v>134</v>
      </c>
      <c r="B135" s="8" t="s">
        <v>185</v>
      </c>
      <c r="C135" s="8" t="s">
        <v>911</v>
      </c>
      <c r="D135" s="8" t="s">
        <v>780</v>
      </c>
      <c r="E135" s="9">
        <f t="shared" si="6"/>
        <v>2025</v>
      </c>
      <c r="F135" s="8" t="str">
        <f>INDEX('Data Mahasiswa'!$N$1:$Q$14, MATCH(MID('Data Status Pendaftar'!B135, 5,2), 'Data Mahasiswa'!$N$1:$N$14,0),2)</f>
        <v>Ekonomi</v>
      </c>
      <c r="G135" s="8" t="str" cm="1">
        <f t="array" ref="G135">INDEX('Data Mahasiswa'!$Q$2:$Q$14, MATCH(MID('Data Status Pendaftar'!B135,5,3), 'Data Mahasiswa'!$N$2:$N$14&amp;TEXT('Data Mahasiswa'!$P$2:$P$14,"0"), 0))</f>
        <v>Ekonomi Pembangunan</v>
      </c>
      <c r="H135" s="9">
        <f t="shared" ca="1" si="7"/>
        <v>2</v>
      </c>
      <c r="I135" s="10">
        <f>INDEX('Data Mahasiswa'!$A$1:$J$701, MATCH('Data Status Pendaftar'!B135, 'Data Mahasiswa'!$A$1:$A$701, 0), 10)</f>
        <v>3.3333333333333335</v>
      </c>
      <c r="J135" s="8" t="str" cm="1">
        <f t="array" ref="J135">INDEX('Data Mahasiswa'!B135:I135,MATCH(MIN(VLOOKUP('Data Mahasiswa'!B135:I135,'Data Mahasiswa'!$N$27:$O$36,2,0)),VLOOKUP('Data Mahasiswa'!B135:I135,'Data Mahasiswa'!$N$27:$O$36,2,0),0))</f>
        <v>C</v>
      </c>
      <c r="K135" s="8" t="str">
        <f t="shared" si="8"/>
        <v>Eligible</v>
      </c>
    </row>
    <row r="136" spans="1:11" x14ac:dyDescent="0.3">
      <c r="A136" s="5">
        <v>135</v>
      </c>
      <c r="B136" s="5" t="s">
        <v>186</v>
      </c>
      <c r="C136" s="5" t="s">
        <v>912</v>
      </c>
      <c r="D136" s="5" t="s">
        <v>780</v>
      </c>
      <c r="E136" s="6">
        <f t="shared" si="6"/>
        <v>2025</v>
      </c>
      <c r="F136" s="5" t="str">
        <f>INDEX('Data Mahasiswa'!$N$1:$Q$14, MATCH(MID('Data Status Pendaftar'!B136, 5,2), 'Data Mahasiswa'!$N$1:$N$14,0),2)</f>
        <v>Ekonomi</v>
      </c>
      <c r="G136" s="5" t="str" cm="1">
        <f t="array" ref="G136">INDEX('Data Mahasiswa'!$Q$2:$Q$14, MATCH(MID('Data Status Pendaftar'!B136,5,3), 'Data Mahasiswa'!$N$2:$N$14&amp;TEXT('Data Mahasiswa'!$P$2:$P$14,"0"), 0))</f>
        <v>Ekonomi Pembangunan</v>
      </c>
      <c r="H136" s="6">
        <f t="shared" ca="1" si="7"/>
        <v>2</v>
      </c>
      <c r="I136" s="7">
        <f>INDEX('Data Mahasiswa'!$A$1:$J$701, MATCH('Data Status Pendaftar'!B136, 'Data Mahasiswa'!$A$1:$A$701, 0), 10)</f>
        <v>3.7291666666666665</v>
      </c>
      <c r="J136" s="5" t="str" cm="1">
        <f t="array" ref="J136">INDEX('Data Mahasiswa'!B136:I136,MATCH(MIN(VLOOKUP('Data Mahasiswa'!B136:I136,'Data Mahasiswa'!$N$27:$O$36,2,0)),VLOOKUP('Data Mahasiswa'!B136:I136,'Data Mahasiswa'!$N$27:$O$36,2,0),0))</f>
        <v>B-</v>
      </c>
      <c r="K136" s="5" t="str">
        <f t="shared" si="8"/>
        <v>Eligible</v>
      </c>
    </row>
    <row r="137" spans="1:11" x14ac:dyDescent="0.3">
      <c r="A137" s="8">
        <v>136</v>
      </c>
      <c r="B137" s="8" t="s">
        <v>187</v>
      </c>
      <c r="C137" s="8" t="s">
        <v>913</v>
      </c>
      <c r="D137" s="8" t="s">
        <v>780</v>
      </c>
      <c r="E137" s="9">
        <f t="shared" si="6"/>
        <v>2025</v>
      </c>
      <c r="F137" s="8" t="str">
        <f>INDEX('Data Mahasiswa'!$N$1:$Q$14, MATCH(MID('Data Status Pendaftar'!B137, 5,2), 'Data Mahasiswa'!$N$1:$N$14,0),2)</f>
        <v>Ekonomi</v>
      </c>
      <c r="G137" s="8" t="str" cm="1">
        <f t="array" ref="G137">INDEX('Data Mahasiswa'!$Q$2:$Q$14, MATCH(MID('Data Status Pendaftar'!B137,5,3), 'Data Mahasiswa'!$N$2:$N$14&amp;TEXT('Data Mahasiswa'!$P$2:$P$14,"0"), 0))</f>
        <v>Ekonomi Pembangunan</v>
      </c>
      <c r="H137" s="9">
        <f t="shared" ca="1" si="7"/>
        <v>2</v>
      </c>
      <c r="I137" s="10">
        <f>INDEX('Data Mahasiswa'!$A$1:$J$701, MATCH('Data Status Pendaftar'!B137, 'Data Mahasiswa'!$A$1:$A$701, 0), 10)</f>
        <v>3.0104166666666665</v>
      </c>
      <c r="J137" s="8" t="str" cm="1">
        <f t="array" ref="J137">INDEX('Data Mahasiswa'!B137:I137,MATCH(MIN(VLOOKUP('Data Mahasiswa'!B137:I137,'Data Mahasiswa'!$N$27:$O$36,2,0)),VLOOKUP('Data Mahasiswa'!B137:I137,'Data Mahasiswa'!$N$27:$O$36,2,0),0))</f>
        <v>D</v>
      </c>
      <c r="K137" s="8" t="str">
        <f t="shared" si="8"/>
        <v>Tidak Eligible</v>
      </c>
    </row>
    <row r="138" spans="1:11" x14ac:dyDescent="0.3">
      <c r="A138" s="5">
        <v>137</v>
      </c>
      <c r="B138" s="5" t="s">
        <v>188</v>
      </c>
      <c r="C138" s="5" t="s">
        <v>914</v>
      </c>
      <c r="D138" s="5" t="s">
        <v>779</v>
      </c>
      <c r="E138" s="6">
        <f t="shared" si="6"/>
        <v>2025</v>
      </c>
      <c r="F138" s="5" t="str">
        <f>INDEX('Data Mahasiswa'!$N$1:$Q$14, MATCH(MID('Data Status Pendaftar'!B138, 5,2), 'Data Mahasiswa'!$N$1:$N$14,0),2)</f>
        <v>Ekonomi</v>
      </c>
      <c r="G138" s="5" t="str" cm="1">
        <f t="array" ref="G138">INDEX('Data Mahasiswa'!$Q$2:$Q$14, MATCH(MID('Data Status Pendaftar'!B138,5,3), 'Data Mahasiswa'!$N$2:$N$14&amp;TEXT('Data Mahasiswa'!$P$2:$P$14,"0"), 0))</f>
        <v>Ekonomi Pembangunan</v>
      </c>
      <c r="H138" s="6">
        <f t="shared" ca="1" si="7"/>
        <v>2</v>
      </c>
      <c r="I138" s="7">
        <f>INDEX('Data Mahasiswa'!$A$1:$J$701, MATCH('Data Status Pendaftar'!B138, 'Data Mahasiswa'!$A$1:$A$701, 0), 10)</f>
        <v>3.40625</v>
      </c>
      <c r="J138" s="5" t="str" cm="1">
        <f t="array" ref="J138">INDEX('Data Mahasiswa'!B138:I138,MATCH(MIN(VLOOKUP('Data Mahasiswa'!B138:I138,'Data Mahasiswa'!$N$27:$O$36,2,0)),VLOOKUP('Data Mahasiswa'!B138:I138,'Data Mahasiswa'!$N$27:$O$36,2,0),0))</f>
        <v>C</v>
      </c>
      <c r="K138" s="5" t="str">
        <f t="shared" si="8"/>
        <v>Eligible</v>
      </c>
    </row>
    <row r="139" spans="1:11" x14ac:dyDescent="0.3">
      <c r="A139" s="8">
        <v>138</v>
      </c>
      <c r="B139" s="8" t="s">
        <v>189</v>
      </c>
      <c r="C139" s="8" t="s">
        <v>915</v>
      </c>
      <c r="D139" s="8" t="s">
        <v>780</v>
      </c>
      <c r="E139" s="9">
        <f t="shared" si="6"/>
        <v>2025</v>
      </c>
      <c r="F139" s="8" t="str">
        <f>INDEX('Data Mahasiswa'!$N$1:$Q$14, MATCH(MID('Data Status Pendaftar'!B139, 5,2), 'Data Mahasiswa'!$N$1:$N$14,0),2)</f>
        <v>Ekonomi</v>
      </c>
      <c r="G139" s="8" t="str" cm="1">
        <f t="array" ref="G139">INDEX('Data Mahasiswa'!$Q$2:$Q$14, MATCH(MID('Data Status Pendaftar'!B139,5,3), 'Data Mahasiswa'!$N$2:$N$14&amp;TEXT('Data Mahasiswa'!$P$2:$P$14,"0"), 0))</f>
        <v>Ekonomi Pembangunan</v>
      </c>
      <c r="H139" s="9">
        <f t="shared" ca="1" si="7"/>
        <v>2</v>
      </c>
      <c r="I139" s="10">
        <f>INDEX('Data Mahasiswa'!$A$1:$J$701, MATCH('Data Status Pendaftar'!B139, 'Data Mahasiswa'!$A$1:$A$701, 0), 10)</f>
        <v>2.9166666666666665</v>
      </c>
      <c r="J139" s="8" t="str" cm="1">
        <f t="array" ref="J139">INDEX('Data Mahasiswa'!B139:I139,MATCH(MIN(VLOOKUP('Data Mahasiswa'!B139:I139,'Data Mahasiswa'!$N$27:$O$36,2,0)),VLOOKUP('Data Mahasiswa'!B139:I139,'Data Mahasiswa'!$N$27:$O$36,2,0),0))</f>
        <v>D</v>
      </c>
      <c r="K139" s="8" t="str">
        <f t="shared" si="8"/>
        <v>Tidak Eligible</v>
      </c>
    </row>
    <row r="140" spans="1:11" x14ac:dyDescent="0.3">
      <c r="A140" s="5">
        <v>139</v>
      </c>
      <c r="B140" s="5" t="s">
        <v>190</v>
      </c>
      <c r="C140" s="5" t="s">
        <v>916</v>
      </c>
      <c r="D140" s="5" t="s">
        <v>780</v>
      </c>
      <c r="E140" s="6">
        <f t="shared" si="6"/>
        <v>2025</v>
      </c>
      <c r="F140" s="5" t="str">
        <f>INDEX('Data Mahasiswa'!$N$1:$Q$14, MATCH(MID('Data Status Pendaftar'!B140, 5,2), 'Data Mahasiswa'!$N$1:$N$14,0),2)</f>
        <v>Ekonomi</v>
      </c>
      <c r="G140" s="5" t="str" cm="1">
        <f t="array" ref="G140">INDEX('Data Mahasiswa'!$Q$2:$Q$14, MATCH(MID('Data Status Pendaftar'!B140,5,3), 'Data Mahasiswa'!$N$2:$N$14&amp;TEXT('Data Mahasiswa'!$P$2:$P$14,"0"), 0))</f>
        <v>Ekonomi Pembangunan</v>
      </c>
      <c r="H140" s="6">
        <f t="shared" ca="1" si="7"/>
        <v>2</v>
      </c>
      <c r="I140" s="7">
        <f>INDEX('Data Mahasiswa'!$A$1:$J$701, MATCH('Data Status Pendaftar'!B140, 'Data Mahasiswa'!$A$1:$A$701, 0), 10)</f>
        <v>3.1875</v>
      </c>
      <c r="J140" s="5" t="str" cm="1">
        <f t="array" ref="J140">INDEX('Data Mahasiswa'!B140:I140,MATCH(MIN(VLOOKUP('Data Mahasiswa'!B140:I140,'Data Mahasiswa'!$N$27:$O$36,2,0)),VLOOKUP('Data Mahasiswa'!B140:I140,'Data Mahasiswa'!$N$27:$O$36,2,0),0))</f>
        <v>C</v>
      </c>
      <c r="K140" s="5" t="str">
        <f t="shared" si="8"/>
        <v>Eligible</v>
      </c>
    </row>
    <row r="141" spans="1:11" x14ac:dyDescent="0.3">
      <c r="A141" s="8">
        <v>140</v>
      </c>
      <c r="B141" s="8" t="s">
        <v>191</v>
      </c>
      <c r="C141" s="8" t="s">
        <v>917</v>
      </c>
      <c r="D141" s="8" t="s">
        <v>779</v>
      </c>
      <c r="E141" s="9">
        <f t="shared" si="6"/>
        <v>2025</v>
      </c>
      <c r="F141" s="8" t="str">
        <f>INDEX('Data Mahasiswa'!$N$1:$Q$14, MATCH(MID('Data Status Pendaftar'!B141, 5,2), 'Data Mahasiswa'!$N$1:$N$14,0),2)</f>
        <v>Ekonomi</v>
      </c>
      <c r="G141" s="8" t="str" cm="1">
        <f t="array" ref="G141">INDEX('Data Mahasiswa'!$Q$2:$Q$14, MATCH(MID('Data Status Pendaftar'!B141,5,3), 'Data Mahasiswa'!$N$2:$N$14&amp;TEXT('Data Mahasiswa'!$P$2:$P$14,"0"), 0))</f>
        <v>Ekonomi Pembangunan</v>
      </c>
      <c r="H141" s="9">
        <f t="shared" ca="1" si="7"/>
        <v>2</v>
      </c>
      <c r="I141" s="10">
        <f>INDEX('Data Mahasiswa'!$A$1:$J$701, MATCH('Data Status Pendaftar'!B141, 'Data Mahasiswa'!$A$1:$A$701, 0), 10)</f>
        <v>3.1458333333333335</v>
      </c>
      <c r="J141" s="8" t="str" cm="1">
        <f t="array" ref="J141">INDEX('Data Mahasiswa'!B141:I141,MATCH(MIN(VLOOKUP('Data Mahasiswa'!B141:I141,'Data Mahasiswa'!$N$27:$O$36,2,0)),VLOOKUP('Data Mahasiswa'!B141:I141,'Data Mahasiswa'!$N$27:$O$36,2,0),0))</f>
        <v>D</v>
      </c>
      <c r="K141" s="8" t="str">
        <f t="shared" si="8"/>
        <v>Tidak Eligible</v>
      </c>
    </row>
    <row r="142" spans="1:11" x14ac:dyDescent="0.3">
      <c r="A142" s="5">
        <v>141</v>
      </c>
      <c r="B142" s="5" t="s">
        <v>192</v>
      </c>
      <c r="C142" s="5" t="s">
        <v>918</v>
      </c>
      <c r="D142" s="5" t="s">
        <v>780</v>
      </c>
      <c r="E142" s="6">
        <f t="shared" si="6"/>
        <v>2025</v>
      </c>
      <c r="F142" s="5" t="str">
        <f>INDEX('Data Mahasiswa'!$N$1:$Q$14, MATCH(MID('Data Status Pendaftar'!B142, 5,2), 'Data Mahasiswa'!$N$1:$N$14,0),2)</f>
        <v>Ekonomi</v>
      </c>
      <c r="G142" s="5" t="str" cm="1">
        <f t="array" ref="G142">INDEX('Data Mahasiswa'!$Q$2:$Q$14, MATCH(MID('Data Status Pendaftar'!B142,5,3), 'Data Mahasiswa'!$N$2:$N$14&amp;TEXT('Data Mahasiswa'!$P$2:$P$14,"0"), 0))</f>
        <v>Ekonomi Pembangunan</v>
      </c>
      <c r="H142" s="6">
        <f t="shared" ca="1" si="7"/>
        <v>2</v>
      </c>
      <c r="I142" s="7">
        <f>INDEX('Data Mahasiswa'!$A$1:$J$701, MATCH('Data Status Pendaftar'!B142, 'Data Mahasiswa'!$A$1:$A$701, 0), 10)</f>
        <v>3.0416666666666665</v>
      </c>
      <c r="J142" s="5" t="str" cm="1">
        <f t="array" ref="J142">INDEX('Data Mahasiswa'!B142:I142,MATCH(MIN(VLOOKUP('Data Mahasiswa'!B142:I142,'Data Mahasiswa'!$N$27:$O$36,2,0)),VLOOKUP('Data Mahasiswa'!B142:I142,'Data Mahasiswa'!$N$27:$O$36,2,0),0))</f>
        <v>C</v>
      </c>
      <c r="K142" s="5" t="str">
        <f t="shared" si="8"/>
        <v>Eligible</v>
      </c>
    </row>
    <row r="143" spans="1:11" x14ac:dyDescent="0.3">
      <c r="A143" s="8">
        <v>142</v>
      </c>
      <c r="B143" s="8" t="s">
        <v>193</v>
      </c>
      <c r="C143" s="8" t="s">
        <v>919</v>
      </c>
      <c r="D143" s="8" t="s">
        <v>780</v>
      </c>
      <c r="E143" s="9">
        <f t="shared" si="6"/>
        <v>2025</v>
      </c>
      <c r="F143" s="8" t="str">
        <f>INDEX('Data Mahasiswa'!$N$1:$Q$14, MATCH(MID('Data Status Pendaftar'!B143, 5,2), 'Data Mahasiswa'!$N$1:$N$14,0),2)</f>
        <v>Ekonomi</v>
      </c>
      <c r="G143" s="8" t="str" cm="1">
        <f t="array" ref="G143">INDEX('Data Mahasiswa'!$Q$2:$Q$14, MATCH(MID('Data Status Pendaftar'!B143,5,3), 'Data Mahasiswa'!$N$2:$N$14&amp;TEXT('Data Mahasiswa'!$P$2:$P$14,"0"), 0))</f>
        <v>Ekonomi Pembangunan</v>
      </c>
      <c r="H143" s="9">
        <f t="shared" ca="1" si="7"/>
        <v>2</v>
      </c>
      <c r="I143" s="10">
        <f>INDEX('Data Mahasiswa'!$A$1:$J$701, MATCH('Data Status Pendaftar'!B143, 'Data Mahasiswa'!$A$1:$A$701, 0), 10)</f>
        <v>3.3020833333333335</v>
      </c>
      <c r="J143" s="8" t="str" cm="1">
        <f t="array" ref="J143">INDEX('Data Mahasiswa'!B143:I143,MATCH(MIN(VLOOKUP('Data Mahasiswa'!B143:I143,'Data Mahasiswa'!$N$27:$O$36,2,0)),VLOOKUP('Data Mahasiswa'!B143:I143,'Data Mahasiswa'!$N$27:$O$36,2,0),0))</f>
        <v>C+</v>
      </c>
      <c r="K143" s="8" t="str">
        <f t="shared" si="8"/>
        <v>Eligible</v>
      </c>
    </row>
    <row r="144" spans="1:11" x14ac:dyDescent="0.3">
      <c r="A144" s="5">
        <v>143</v>
      </c>
      <c r="B144" s="5" t="s">
        <v>194</v>
      </c>
      <c r="C144" s="5" t="s">
        <v>920</v>
      </c>
      <c r="D144" s="5" t="s">
        <v>779</v>
      </c>
      <c r="E144" s="6">
        <f t="shared" si="6"/>
        <v>2025</v>
      </c>
      <c r="F144" s="5" t="str">
        <f>INDEX('Data Mahasiswa'!$N$1:$Q$14, MATCH(MID('Data Status Pendaftar'!B144, 5,2), 'Data Mahasiswa'!$N$1:$N$14,0),2)</f>
        <v>Ekonomi</v>
      </c>
      <c r="G144" s="5" t="str" cm="1">
        <f t="array" ref="G144">INDEX('Data Mahasiswa'!$Q$2:$Q$14, MATCH(MID('Data Status Pendaftar'!B144,5,3), 'Data Mahasiswa'!$N$2:$N$14&amp;TEXT('Data Mahasiswa'!$P$2:$P$14,"0"), 0))</f>
        <v>Ekonomi Pembangunan</v>
      </c>
      <c r="H144" s="6">
        <f t="shared" ca="1" si="7"/>
        <v>2</v>
      </c>
      <c r="I144" s="7">
        <f>INDEX('Data Mahasiswa'!$A$1:$J$701, MATCH('Data Status Pendaftar'!B144, 'Data Mahasiswa'!$A$1:$A$701, 0), 10)</f>
        <v>3.3333333333333335</v>
      </c>
      <c r="J144" s="5" t="str" cm="1">
        <f t="array" ref="J144">INDEX('Data Mahasiswa'!B144:I144,MATCH(MIN(VLOOKUP('Data Mahasiswa'!B144:I144,'Data Mahasiswa'!$N$27:$O$36,2,0)),VLOOKUP('Data Mahasiswa'!B144:I144,'Data Mahasiswa'!$N$27:$O$36,2,0),0))</f>
        <v>C+</v>
      </c>
      <c r="K144" s="5" t="str">
        <f t="shared" si="8"/>
        <v>Eligible</v>
      </c>
    </row>
    <row r="145" spans="1:11" x14ac:dyDescent="0.3">
      <c r="A145" s="8">
        <v>144</v>
      </c>
      <c r="B145" s="8" t="s">
        <v>195</v>
      </c>
      <c r="C145" s="8" t="s">
        <v>921</v>
      </c>
      <c r="D145" s="8" t="s">
        <v>779</v>
      </c>
      <c r="E145" s="9">
        <f t="shared" si="6"/>
        <v>2025</v>
      </c>
      <c r="F145" s="8" t="str">
        <f>INDEX('Data Mahasiswa'!$N$1:$Q$14, MATCH(MID('Data Status Pendaftar'!B145, 5,2), 'Data Mahasiswa'!$N$1:$N$14,0),2)</f>
        <v>Ekonomi</v>
      </c>
      <c r="G145" s="8" t="str" cm="1">
        <f t="array" ref="G145">INDEX('Data Mahasiswa'!$Q$2:$Q$14, MATCH(MID('Data Status Pendaftar'!B145,5,3), 'Data Mahasiswa'!$N$2:$N$14&amp;TEXT('Data Mahasiswa'!$P$2:$P$14,"0"), 0))</f>
        <v>Ekonomi Pembangunan</v>
      </c>
      <c r="H145" s="9">
        <f t="shared" ca="1" si="7"/>
        <v>2</v>
      </c>
      <c r="I145" s="10">
        <f>INDEX('Data Mahasiswa'!$A$1:$J$701, MATCH('Data Status Pendaftar'!B145, 'Data Mahasiswa'!$A$1:$A$701, 0), 10)</f>
        <v>2.9583333333333335</v>
      </c>
      <c r="J145" s="8" t="str" cm="1">
        <f t="array" ref="J145">INDEX('Data Mahasiswa'!B145:I145,MATCH(MIN(VLOOKUP('Data Mahasiswa'!B145:I145,'Data Mahasiswa'!$N$27:$O$36,2,0)),VLOOKUP('Data Mahasiswa'!B145:I145,'Data Mahasiswa'!$N$27:$O$36,2,0),0))</f>
        <v>D</v>
      </c>
      <c r="K145" s="8" t="str">
        <f t="shared" si="8"/>
        <v>Tidak Eligible</v>
      </c>
    </row>
    <row r="146" spans="1:11" x14ac:dyDescent="0.3">
      <c r="A146" s="5">
        <v>145</v>
      </c>
      <c r="B146" s="5" t="s">
        <v>196</v>
      </c>
      <c r="C146" s="5" t="s">
        <v>922</v>
      </c>
      <c r="D146" s="5" t="s">
        <v>780</v>
      </c>
      <c r="E146" s="6">
        <f t="shared" si="6"/>
        <v>2025</v>
      </c>
      <c r="F146" s="5" t="str">
        <f>INDEX('Data Mahasiswa'!$N$1:$Q$14, MATCH(MID('Data Status Pendaftar'!B146, 5,2), 'Data Mahasiswa'!$N$1:$N$14,0),2)</f>
        <v>Ekonomi</v>
      </c>
      <c r="G146" s="5" t="str" cm="1">
        <f t="array" ref="G146">INDEX('Data Mahasiswa'!$Q$2:$Q$14, MATCH(MID('Data Status Pendaftar'!B146,5,3), 'Data Mahasiswa'!$N$2:$N$14&amp;TEXT('Data Mahasiswa'!$P$2:$P$14,"0"), 0))</f>
        <v>Ekonomi Pembangunan</v>
      </c>
      <c r="H146" s="6">
        <f t="shared" ca="1" si="7"/>
        <v>2</v>
      </c>
      <c r="I146" s="7">
        <f>INDEX('Data Mahasiswa'!$A$1:$J$701, MATCH('Data Status Pendaftar'!B146, 'Data Mahasiswa'!$A$1:$A$701, 0), 10)</f>
        <v>3.0208333333333335</v>
      </c>
      <c r="J146" s="5" t="str" cm="1">
        <f t="array" ref="J146">INDEX('Data Mahasiswa'!B146:I146,MATCH(MIN(VLOOKUP('Data Mahasiswa'!B146:I146,'Data Mahasiswa'!$N$27:$O$36,2,0)),VLOOKUP('Data Mahasiswa'!B146:I146,'Data Mahasiswa'!$N$27:$O$36,2,0),0))</f>
        <v>D</v>
      </c>
      <c r="K146" s="5" t="str">
        <f t="shared" si="8"/>
        <v>Tidak Eligible</v>
      </c>
    </row>
    <row r="147" spans="1:11" x14ac:dyDescent="0.3">
      <c r="A147" s="8">
        <v>146</v>
      </c>
      <c r="B147" s="8" t="s">
        <v>197</v>
      </c>
      <c r="C147" s="8" t="s">
        <v>923</v>
      </c>
      <c r="D147" s="8" t="s">
        <v>780</v>
      </c>
      <c r="E147" s="9">
        <f t="shared" si="6"/>
        <v>2025</v>
      </c>
      <c r="F147" s="8" t="str">
        <f>INDEX('Data Mahasiswa'!$N$1:$Q$14, MATCH(MID('Data Status Pendaftar'!B147, 5,2), 'Data Mahasiswa'!$N$1:$N$14,0),2)</f>
        <v>Ekonomi</v>
      </c>
      <c r="G147" s="8" t="str" cm="1">
        <f t="array" ref="G147">INDEX('Data Mahasiswa'!$Q$2:$Q$14, MATCH(MID('Data Status Pendaftar'!B147,5,3), 'Data Mahasiswa'!$N$2:$N$14&amp;TEXT('Data Mahasiswa'!$P$2:$P$14,"0"), 0))</f>
        <v>Ekonomi Pembangunan</v>
      </c>
      <c r="H147" s="9">
        <f t="shared" ca="1" si="7"/>
        <v>2</v>
      </c>
      <c r="I147" s="10">
        <f>INDEX('Data Mahasiswa'!$A$1:$J$701, MATCH('Data Status Pendaftar'!B147, 'Data Mahasiswa'!$A$1:$A$701, 0), 10)</f>
        <v>2.28125</v>
      </c>
      <c r="J147" s="8" t="str" cm="1">
        <f t="array" ref="J147">INDEX('Data Mahasiswa'!B147:I147,MATCH(MIN(VLOOKUP('Data Mahasiswa'!B147:I147,'Data Mahasiswa'!$N$27:$O$36,2,0)),VLOOKUP('Data Mahasiswa'!B147:I147,'Data Mahasiswa'!$N$27:$O$36,2,0),0))</f>
        <v>E</v>
      </c>
      <c r="K147" s="8" t="str">
        <f t="shared" si="8"/>
        <v>Tidak Eligible</v>
      </c>
    </row>
    <row r="148" spans="1:11" x14ac:dyDescent="0.3">
      <c r="A148" s="5">
        <v>147</v>
      </c>
      <c r="B148" s="5" t="s">
        <v>198</v>
      </c>
      <c r="C148" s="5" t="s">
        <v>924</v>
      </c>
      <c r="D148" s="5" t="s">
        <v>780</v>
      </c>
      <c r="E148" s="6">
        <f t="shared" si="6"/>
        <v>2025</v>
      </c>
      <c r="F148" s="5" t="str">
        <f>INDEX('Data Mahasiswa'!$N$1:$Q$14, MATCH(MID('Data Status Pendaftar'!B148, 5,2), 'Data Mahasiswa'!$N$1:$N$14,0),2)</f>
        <v>Pertanian</v>
      </c>
      <c r="G148" s="5" t="str" cm="1">
        <f t="array" ref="G148">INDEX('Data Mahasiswa'!$Q$2:$Q$14, MATCH(MID('Data Status Pendaftar'!B148,5,3), 'Data Mahasiswa'!$N$2:$N$14&amp;TEXT('Data Mahasiswa'!$P$2:$P$14,"0"), 0))</f>
        <v>Agroteknologi</v>
      </c>
      <c r="H148" s="6">
        <f t="shared" ca="1" si="7"/>
        <v>2</v>
      </c>
      <c r="I148" s="7">
        <f>INDEX('Data Mahasiswa'!$A$1:$J$701, MATCH('Data Status Pendaftar'!B148, 'Data Mahasiswa'!$A$1:$A$701, 0), 10)</f>
        <v>2.875</v>
      </c>
      <c r="J148" s="5" t="str" cm="1">
        <f t="array" ref="J148">INDEX('Data Mahasiswa'!B148:I148,MATCH(MIN(VLOOKUP('Data Mahasiswa'!B148:I148,'Data Mahasiswa'!$N$27:$O$36,2,0)),VLOOKUP('Data Mahasiswa'!B148:I148,'Data Mahasiswa'!$N$27:$O$36,2,0),0))</f>
        <v>C</v>
      </c>
      <c r="K148" s="5" t="str">
        <f t="shared" si="8"/>
        <v>Eligible</v>
      </c>
    </row>
    <row r="149" spans="1:11" x14ac:dyDescent="0.3">
      <c r="A149" s="8">
        <v>148</v>
      </c>
      <c r="B149" s="8" t="s">
        <v>199</v>
      </c>
      <c r="C149" s="8" t="s">
        <v>925</v>
      </c>
      <c r="D149" s="8" t="s">
        <v>779</v>
      </c>
      <c r="E149" s="9">
        <f t="shared" si="6"/>
        <v>2025</v>
      </c>
      <c r="F149" s="8" t="str">
        <f>INDEX('Data Mahasiswa'!$N$1:$Q$14, MATCH(MID('Data Status Pendaftar'!B149, 5,2), 'Data Mahasiswa'!$N$1:$N$14,0),2)</f>
        <v>Pertanian</v>
      </c>
      <c r="G149" s="8" t="str" cm="1">
        <f t="array" ref="G149">INDEX('Data Mahasiswa'!$Q$2:$Q$14, MATCH(MID('Data Status Pendaftar'!B149,5,3), 'Data Mahasiswa'!$N$2:$N$14&amp;TEXT('Data Mahasiswa'!$P$2:$P$14,"0"), 0))</f>
        <v>Agroteknologi</v>
      </c>
      <c r="H149" s="9">
        <f t="shared" ca="1" si="7"/>
        <v>2</v>
      </c>
      <c r="I149" s="10">
        <f>INDEX('Data Mahasiswa'!$A$1:$J$701, MATCH('Data Status Pendaftar'!B149, 'Data Mahasiswa'!$A$1:$A$701, 0), 10)</f>
        <v>3.2083333333333335</v>
      </c>
      <c r="J149" s="8" t="str" cm="1">
        <f t="array" ref="J149">INDEX('Data Mahasiswa'!B149:I149,MATCH(MIN(VLOOKUP('Data Mahasiswa'!B149:I149,'Data Mahasiswa'!$N$27:$O$36,2,0)),VLOOKUP('Data Mahasiswa'!B149:I149,'Data Mahasiswa'!$N$27:$O$36,2,0),0))</f>
        <v>C</v>
      </c>
      <c r="K149" s="8" t="str">
        <f t="shared" si="8"/>
        <v>Eligible</v>
      </c>
    </row>
    <row r="150" spans="1:11" x14ac:dyDescent="0.3">
      <c r="A150" s="5">
        <v>149</v>
      </c>
      <c r="B150" s="5" t="s">
        <v>200</v>
      </c>
      <c r="C150" s="5" t="s">
        <v>909</v>
      </c>
      <c r="D150" s="5" t="s">
        <v>779</v>
      </c>
      <c r="E150" s="6">
        <f t="shared" si="6"/>
        <v>2025</v>
      </c>
      <c r="F150" s="5" t="str">
        <f>INDEX('Data Mahasiswa'!$N$1:$Q$14, MATCH(MID('Data Status Pendaftar'!B150, 5,2), 'Data Mahasiswa'!$N$1:$N$14,0),2)</f>
        <v>Pertanian</v>
      </c>
      <c r="G150" s="5" t="str" cm="1">
        <f t="array" ref="G150">INDEX('Data Mahasiswa'!$Q$2:$Q$14, MATCH(MID('Data Status Pendaftar'!B150,5,3), 'Data Mahasiswa'!$N$2:$N$14&amp;TEXT('Data Mahasiswa'!$P$2:$P$14,"0"), 0))</f>
        <v>Agroteknologi</v>
      </c>
      <c r="H150" s="6">
        <f t="shared" ca="1" si="7"/>
        <v>2</v>
      </c>
      <c r="I150" s="7">
        <f>INDEX('Data Mahasiswa'!$A$1:$J$701, MATCH('Data Status Pendaftar'!B150, 'Data Mahasiswa'!$A$1:$A$701, 0), 10)</f>
        <v>3.34375</v>
      </c>
      <c r="J150" s="5" t="str" cm="1">
        <f t="array" ref="J150">INDEX('Data Mahasiswa'!B150:I150,MATCH(MIN(VLOOKUP('Data Mahasiswa'!B150:I150,'Data Mahasiswa'!$N$27:$O$36,2,0)),VLOOKUP('Data Mahasiswa'!B150:I150,'Data Mahasiswa'!$N$27:$O$36,2,0),0))</f>
        <v>B-</v>
      </c>
      <c r="K150" s="5" t="str">
        <f t="shared" si="8"/>
        <v>Eligible</v>
      </c>
    </row>
    <row r="151" spans="1:11" x14ac:dyDescent="0.3">
      <c r="A151" s="8">
        <v>150</v>
      </c>
      <c r="B151" s="8" t="s">
        <v>201</v>
      </c>
      <c r="C151" s="8" t="s">
        <v>926</v>
      </c>
      <c r="D151" s="8" t="s">
        <v>779</v>
      </c>
      <c r="E151" s="9">
        <f t="shared" si="6"/>
        <v>2025</v>
      </c>
      <c r="F151" s="8" t="str">
        <f>INDEX('Data Mahasiswa'!$N$1:$Q$14, MATCH(MID('Data Status Pendaftar'!B151, 5,2), 'Data Mahasiswa'!$N$1:$N$14,0),2)</f>
        <v>Pertanian</v>
      </c>
      <c r="G151" s="8" t="str" cm="1">
        <f t="array" ref="G151">INDEX('Data Mahasiswa'!$Q$2:$Q$14, MATCH(MID('Data Status Pendaftar'!B151,5,3), 'Data Mahasiswa'!$N$2:$N$14&amp;TEXT('Data Mahasiswa'!$P$2:$P$14,"0"), 0))</f>
        <v>Agroteknologi</v>
      </c>
      <c r="H151" s="9">
        <f t="shared" ca="1" si="7"/>
        <v>2</v>
      </c>
      <c r="I151" s="10">
        <f>INDEX('Data Mahasiswa'!$A$1:$J$701, MATCH('Data Status Pendaftar'!B151, 'Data Mahasiswa'!$A$1:$A$701, 0), 10)</f>
        <v>2.9791666666666665</v>
      </c>
      <c r="J151" s="8" t="str" cm="1">
        <f t="array" ref="J151">INDEX('Data Mahasiswa'!B151:I151,MATCH(MIN(VLOOKUP('Data Mahasiswa'!B151:I151,'Data Mahasiswa'!$N$27:$O$36,2,0)),VLOOKUP('Data Mahasiswa'!B151:I151,'Data Mahasiswa'!$N$27:$O$36,2,0),0))</f>
        <v>C</v>
      </c>
      <c r="K151" s="8" t="str">
        <f t="shared" si="8"/>
        <v>Eligible</v>
      </c>
    </row>
    <row r="152" spans="1:11" x14ac:dyDescent="0.3">
      <c r="A152" s="5">
        <v>151</v>
      </c>
      <c r="B152" s="5" t="s">
        <v>202</v>
      </c>
      <c r="C152" s="5" t="s">
        <v>927</v>
      </c>
      <c r="D152" s="5" t="s">
        <v>779</v>
      </c>
      <c r="E152" s="6">
        <f t="shared" si="6"/>
        <v>2025</v>
      </c>
      <c r="F152" s="5" t="str">
        <f>INDEX('Data Mahasiswa'!$N$1:$Q$14, MATCH(MID('Data Status Pendaftar'!B152, 5,2), 'Data Mahasiswa'!$N$1:$N$14,0),2)</f>
        <v>Pertanian</v>
      </c>
      <c r="G152" s="5" t="str" cm="1">
        <f t="array" ref="G152">INDEX('Data Mahasiswa'!$Q$2:$Q$14, MATCH(MID('Data Status Pendaftar'!B152,5,3), 'Data Mahasiswa'!$N$2:$N$14&amp;TEXT('Data Mahasiswa'!$P$2:$P$14,"0"), 0))</f>
        <v>Agroteknologi</v>
      </c>
      <c r="H152" s="6">
        <f t="shared" ca="1" si="7"/>
        <v>2</v>
      </c>
      <c r="I152" s="7">
        <f>INDEX('Data Mahasiswa'!$A$1:$J$701, MATCH('Data Status Pendaftar'!B152, 'Data Mahasiswa'!$A$1:$A$701, 0), 10)</f>
        <v>2.6979166666666665</v>
      </c>
      <c r="J152" s="5" t="str" cm="1">
        <f t="array" ref="J152">INDEX('Data Mahasiswa'!B152:I152,MATCH(MIN(VLOOKUP('Data Mahasiswa'!B152:I152,'Data Mahasiswa'!$N$27:$O$36,2,0)),VLOOKUP('Data Mahasiswa'!B152:I152,'Data Mahasiswa'!$N$27:$O$36,2,0),0))</f>
        <v>D</v>
      </c>
      <c r="K152" s="5" t="str">
        <f t="shared" si="8"/>
        <v>Tidak Eligible</v>
      </c>
    </row>
    <row r="153" spans="1:11" x14ac:dyDescent="0.3">
      <c r="A153" s="8">
        <v>152</v>
      </c>
      <c r="B153" s="8" t="s">
        <v>203</v>
      </c>
      <c r="C153" s="8" t="s">
        <v>928</v>
      </c>
      <c r="D153" s="8" t="s">
        <v>779</v>
      </c>
      <c r="E153" s="9">
        <f t="shared" si="6"/>
        <v>2025</v>
      </c>
      <c r="F153" s="8" t="str">
        <f>INDEX('Data Mahasiswa'!$N$1:$Q$14, MATCH(MID('Data Status Pendaftar'!B153, 5,2), 'Data Mahasiswa'!$N$1:$N$14,0),2)</f>
        <v>Pertanian</v>
      </c>
      <c r="G153" s="8" t="str" cm="1">
        <f t="array" ref="G153">INDEX('Data Mahasiswa'!$Q$2:$Q$14, MATCH(MID('Data Status Pendaftar'!B153,5,3), 'Data Mahasiswa'!$N$2:$N$14&amp;TEXT('Data Mahasiswa'!$P$2:$P$14,"0"), 0))</f>
        <v>Agroteknologi</v>
      </c>
      <c r="H153" s="9">
        <f t="shared" ca="1" si="7"/>
        <v>2</v>
      </c>
      <c r="I153" s="10">
        <f>INDEX('Data Mahasiswa'!$A$1:$J$701, MATCH('Data Status Pendaftar'!B153, 'Data Mahasiswa'!$A$1:$A$701, 0), 10)</f>
        <v>3.1770833333333335</v>
      </c>
      <c r="J153" s="8" t="str" cm="1">
        <f t="array" ref="J153">INDEX('Data Mahasiswa'!B153:I153,MATCH(MIN(VLOOKUP('Data Mahasiswa'!B153:I153,'Data Mahasiswa'!$N$27:$O$36,2,0)),VLOOKUP('Data Mahasiswa'!B153:I153,'Data Mahasiswa'!$N$27:$O$36,2,0),0))</f>
        <v>C+</v>
      </c>
      <c r="K153" s="8" t="str">
        <f t="shared" si="8"/>
        <v>Eligible</v>
      </c>
    </row>
    <row r="154" spans="1:11" x14ac:dyDescent="0.3">
      <c r="A154" s="5">
        <v>153</v>
      </c>
      <c r="B154" s="5" t="s">
        <v>204</v>
      </c>
      <c r="C154" s="5" t="s">
        <v>929</v>
      </c>
      <c r="D154" s="5" t="s">
        <v>780</v>
      </c>
      <c r="E154" s="6">
        <f t="shared" si="6"/>
        <v>2025</v>
      </c>
      <c r="F154" s="5" t="str">
        <f>INDEX('Data Mahasiswa'!$N$1:$Q$14, MATCH(MID('Data Status Pendaftar'!B154, 5,2), 'Data Mahasiswa'!$N$1:$N$14,0),2)</f>
        <v>Pertanian</v>
      </c>
      <c r="G154" s="5" t="str" cm="1">
        <f t="array" ref="G154">INDEX('Data Mahasiswa'!$Q$2:$Q$14, MATCH(MID('Data Status Pendaftar'!B154,5,3), 'Data Mahasiswa'!$N$2:$N$14&amp;TEXT('Data Mahasiswa'!$P$2:$P$14,"0"), 0))</f>
        <v>Agroteknologi</v>
      </c>
      <c r="H154" s="6">
        <f t="shared" ca="1" si="7"/>
        <v>2</v>
      </c>
      <c r="I154" s="7">
        <f>INDEX('Data Mahasiswa'!$A$1:$J$701, MATCH('Data Status Pendaftar'!B154, 'Data Mahasiswa'!$A$1:$A$701, 0), 10)</f>
        <v>3.53125</v>
      </c>
      <c r="J154" s="5" t="str" cm="1">
        <f t="array" ref="J154">INDEX('Data Mahasiswa'!B154:I154,MATCH(MIN(VLOOKUP('Data Mahasiswa'!B154:I154,'Data Mahasiswa'!$N$27:$O$36,2,0)),VLOOKUP('Data Mahasiswa'!B154:I154,'Data Mahasiswa'!$N$27:$O$36,2,0),0))</f>
        <v>B-</v>
      </c>
      <c r="K154" s="5" t="str">
        <f t="shared" si="8"/>
        <v>Eligible</v>
      </c>
    </row>
    <row r="155" spans="1:11" x14ac:dyDescent="0.3">
      <c r="A155" s="8">
        <v>154</v>
      </c>
      <c r="B155" s="8" t="s">
        <v>205</v>
      </c>
      <c r="C155" s="8" t="s">
        <v>930</v>
      </c>
      <c r="D155" s="8" t="s">
        <v>780</v>
      </c>
      <c r="E155" s="9">
        <f t="shared" si="6"/>
        <v>2025</v>
      </c>
      <c r="F155" s="8" t="str">
        <f>INDEX('Data Mahasiswa'!$N$1:$Q$14, MATCH(MID('Data Status Pendaftar'!B155, 5,2), 'Data Mahasiswa'!$N$1:$N$14,0),2)</f>
        <v>Pertanian</v>
      </c>
      <c r="G155" s="8" t="str" cm="1">
        <f t="array" ref="G155">INDEX('Data Mahasiswa'!$Q$2:$Q$14, MATCH(MID('Data Status Pendaftar'!B155,5,3), 'Data Mahasiswa'!$N$2:$N$14&amp;TEXT('Data Mahasiswa'!$P$2:$P$14,"0"), 0))</f>
        <v>Agroteknologi</v>
      </c>
      <c r="H155" s="9">
        <f t="shared" ca="1" si="7"/>
        <v>2</v>
      </c>
      <c r="I155" s="10">
        <f>INDEX('Data Mahasiswa'!$A$1:$J$701, MATCH('Data Status Pendaftar'!B155, 'Data Mahasiswa'!$A$1:$A$701, 0), 10)</f>
        <v>2.6875</v>
      </c>
      <c r="J155" s="8" t="str" cm="1">
        <f t="array" ref="J155">INDEX('Data Mahasiswa'!B155:I155,MATCH(MIN(VLOOKUP('Data Mahasiswa'!B155:I155,'Data Mahasiswa'!$N$27:$O$36,2,0)),VLOOKUP('Data Mahasiswa'!B155:I155,'Data Mahasiswa'!$N$27:$O$36,2,0),0))</f>
        <v>D</v>
      </c>
      <c r="K155" s="8" t="str">
        <f t="shared" si="8"/>
        <v>Tidak Eligible</v>
      </c>
    </row>
    <row r="156" spans="1:11" x14ac:dyDescent="0.3">
      <c r="A156" s="5">
        <v>155</v>
      </c>
      <c r="B156" s="5" t="s">
        <v>206</v>
      </c>
      <c r="C156" s="5" t="s">
        <v>931</v>
      </c>
      <c r="D156" s="5" t="s">
        <v>779</v>
      </c>
      <c r="E156" s="6">
        <f t="shared" si="6"/>
        <v>2025</v>
      </c>
      <c r="F156" s="5" t="str">
        <f>INDEX('Data Mahasiswa'!$N$1:$Q$14, MATCH(MID('Data Status Pendaftar'!B156, 5,2), 'Data Mahasiswa'!$N$1:$N$14,0),2)</f>
        <v>Pertanian</v>
      </c>
      <c r="G156" s="5" t="str" cm="1">
        <f t="array" ref="G156">INDEX('Data Mahasiswa'!$Q$2:$Q$14, MATCH(MID('Data Status Pendaftar'!B156,5,3), 'Data Mahasiswa'!$N$2:$N$14&amp;TEXT('Data Mahasiswa'!$P$2:$P$14,"0"), 0))</f>
        <v>Agroteknologi</v>
      </c>
      <c r="H156" s="6">
        <f t="shared" ca="1" si="7"/>
        <v>2</v>
      </c>
      <c r="I156" s="7">
        <f>INDEX('Data Mahasiswa'!$A$1:$J$701, MATCH('Data Status Pendaftar'!B156, 'Data Mahasiswa'!$A$1:$A$701, 0), 10)</f>
        <v>3.1979166666666665</v>
      </c>
      <c r="J156" s="5" t="str" cm="1">
        <f t="array" ref="J156">INDEX('Data Mahasiswa'!B156:I156,MATCH(MIN(VLOOKUP('Data Mahasiswa'!B156:I156,'Data Mahasiswa'!$N$27:$O$36,2,0)),VLOOKUP('Data Mahasiswa'!B156:I156,'Data Mahasiswa'!$N$27:$O$36,2,0),0))</f>
        <v>C</v>
      </c>
      <c r="K156" s="5" t="str">
        <f t="shared" si="8"/>
        <v>Eligible</v>
      </c>
    </row>
    <row r="157" spans="1:11" x14ac:dyDescent="0.3">
      <c r="A157" s="8">
        <v>156</v>
      </c>
      <c r="B157" s="8" t="s">
        <v>207</v>
      </c>
      <c r="C157" s="8" t="s">
        <v>932</v>
      </c>
      <c r="D157" s="8" t="s">
        <v>779</v>
      </c>
      <c r="E157" s="9">
        <f t="shared" si="6"/>
        <v>2025</v>
      </c>
      <c r="F157" s="8" t="str">
        <f>INDEX('Data Mahasiswa'!$N$1:$Q$14, MATCH(MID('Data Status Pendaftar'!B157, 5,2), 'Data Mahasiswa'!$N$1:$N$14,0),2)</f>
        <v>Pertanian</v>
      </c>
      <c r="G157" s="8" t="str" cm="1">
        <f t="array" ref="G157">INDEX('Data Mahasiswa'!$Q$2:$Q$14, MATCH(MID('Data Status Pendaftar'!B157,5,3), 'Data Mahasiswa'!$N$2:$N$14&amp;TEXT('Data Mahasiswa'!$P$2:$P$14,"0"), 0))</f>
        <v>Agroteknologi</v>
      </c>
      <c r="H157" s="9">
        <f t="shared" ca="1" si="7"/>
        <v>2</v>
      </c>
      <c r="I157" s="10">
        <f>INDEX('Data Mahasiswa'!$A$1:$J$701, MATCH('Data Status Pendaftar'!B157, 'Data Mahasiswa'!$A$1:$A$701, 0), 10)</f>
        <v>2.875</v>
      </c>
      <c r="J157" s="8" t="str" cm="1">
        <f t="array" ref="J157">INDEX('Data Mahasiswa'!B157:I157,MATCH(MIN(VLOOKUP('Data Mahasiswa'!B157:I157,'Data Mahasiswa'!$N$27:$O$36,2,0)),VLOOKUP('Data Mahasiswa'!B157:I157,'Data Mahasiswa'!$N$27:$O$36,2,0),0))</f>
        <v>E</v>
      </c>
      <c r="K157" s="8" t="str">
        <f t="shared" si="8"/>
        <v>Tidak Eligible</v>
      </c>
    </row>
    <row r="158" spans="1:11" x14ac:dyDescent="0.3">
      <c r="A158" s="5">
        <v>157</v>
      </c>
      <c r="B158" s="5" t="s">
        <v>208</v>
      </c>
      <c r="C158" s="5" t="s">
        <v>933</v>
      </c>
      <c r="D158" s="5" t="s">
        <v>779</v>
      </c>
      <c r="E158" s="6">
        <f t="shared" si="6"/>
        <v>2025</v>
      </c>
      <c r="F158" s="5" t="str">
        <f>INDEX('Data Mahasiswa'!$N$1:$Q$14, MATCH(MID('Data Status Pendaftar'!B158, 5,2), 'Data Mahasiswa'!$N$1:$N$14,0),2)</f>
        <v>Pertanian</v>
      </c>
      <c r="G158" s="5" t="str" cm="1">
        <f t="array" ref="G158">INDEX('Data Mahasiswa'!$Q$2:$Q$14, MATCH(MID('Data Status Pendaftar'!B158,5,3), 'Data Mahasiswa'!$N$2:$N$14&amp;TEXT('Data Mahasiswa'!$P$2:$P$14,"0"), 0))</f>
        <v>Agroteknologi</v>
      </c>
      <c r="H158" s="6">
        <f t="shared" ca="1" si="7"/>
        <v>2</v>
      </c>
      <c r="I158" s="7">
        <f>INDEX('Data Mahasiswa'!$A$1:$J$701, MATCH('Data Status Pendaftar'!B158, 'Data Mahasiswa'!$A$1:$A$701, 0), 10)</f>
        <v>3.21875</v>
      </c>
      <c r="J158" s="5" t="str" cm="1">
        <f t="array" ref="J158">INDEX('Data Mahasiswa'!B158:I158,MATCH(MIN(VLOOKUP('Data Mahasiswa'!B158:I158,'Data Mahasiswa'!$N$27:$O$36,2,0)),VLOOKUP('Data Mahasiswa'!B158:I158,'Data Mahasiswa'!$N$27:$O$36,2,0),0))</f>
        <v>D</v>
      </c>
      <c r="K158" s="5" t="str">
        <f t="shared" si="8"/>
        <v>Tidak Eligible</v>
      </c>
    </row>
    <row r="159" spans="1:11" x14ac:dyDescent="0.3">
      <c r="A159" s="8">
        <v>158</v>
      </c>
      <c r="B159" s="8" t="s">
        <v>209</v>
      </c>
      <c r="C159" s="8" t="s">
        <v>868</v>
      </c>
      <c r="D159" s="8" t="s">
        <v>779</v>
      </c>
      <c r="E159" s="9">
        <f t="shared" si="6"/>
        <v>2025</v>
      </c>
      <c r="F159" s="8" t="str">
        <f>INDEX('Data Mahasiswa'!$N$1:$Q$14, MATCH(MID('Data Status Pendaftar'!B159, 5,2), 'Data Mahasiswa'!$N$1:$N$14,0),2)</f>
        <v>Pertanian</v>
      </c>
      <c r="G159" s="8" t="str" cm="1">
        <f t="array" ref="G159">INDEX('Data Mahasiswa'!$Q$2:$Q$14, MATCH(MID('Data Status Pendaftar'!B159,5,3), 'Data Mahasiswa'!$N$2:$N$14&amp;TEXT('Data Mahasiswa'!$P$2:$P$14,"0"), 0))</f>
        <v>Agroteknologi</v>
      </c>
      <c r="H159" s="9">
        <f t="shared" ca="1" si="7"/>
        <v>2</v>
      </c>
      <c r="I159" s="10">
        <f>INDEX('Data Mahasiswa'!$A$1:$J$701, MATCH('Data Status Pendaftar'!B159, 'Data Mahasiswa'!$A$1:$A$701, 0), 10)</f>
        <v>2.9375</v>
      </c>
      <c r="J159" s="8" t="str" cm="1">
        <f t="array" ref="J159">INDEX('Data Mahasiswa'!B159:I159,MATCH(MIN(VLOOKUP('Data Mahasiswa'!B159:I159,'Data Mahasiswa'!$N$27:$O$36,2,0)),VLOOKUP('Data Mahasiswa'!B159:I159,'Data Mahasiswa'!$N$27:$O$36,2,0),0))</f>
        <v>C+</v>
      </c>
      <c r="K159" s="8" t="str">
        <f t="shared" si="8"/>
        <v>Eligible</v>
      </c>
    </row>
    <row r="160" spans="1:11" x14ac:dyDescent="0.3">
      <c r="A160" s="5">
        <v>159</v>
      </c>
      <c r="B160" s="5" t="s">
        <v>210</v>
      </c>
      <c r="C160" s="5" t="s">
        <v>934</v>
      </c>
      <c r="D160" s="5" t="s">
        <v>779</v>
      </c>
      <c r="E160" s="6">
        <f t="shared" si="6"/>
        <v>2025</v>
      </c>
      <c r="F160" s="5" t="str">
        <f>INDEX('Data Mahasiswa'!$N$1:$Q$14, MATCH(MID('Data Status Pendaftar'!B160, 5,2), 'Data Mahasiswa'!$N$1:$N$14,0),2)</f>
        <v>Pertanian</v>
      </c>
      <c r="G160" s="5" t="str" cm="1">
        <f t="array" ref="G160">INDEX('Data Mahasiswa'!$Q$2:$Q$14, MATCH(MID('Data Status Pendaftar'!B160,5,3), 'Data Mahasiswa'!$N$2:$N$14&amp;TEXT('Data Mahasiswa'!$P$2:$P$14,"0"), 0))</f>
        <v>Agroteknologi</v>
      </c>
      <c r="H160" s="6">
        <f t="shared" ca="1" si="7"/>
        <v>2</v>
      </c>
      <c r="I160" s="7">
        <f>INDEX('Data Mahasiswa'!$A$1:$J$701, MATCH('Data Status Pendaftar'!B160, 'Data Mahasiswa'!$A$1:$A$701, 0), 10)</f>
        <v>3.2291666666666665</v>
      </c>
      <c r="J160" s="5" t="str" cm="1">
        <f t="array" ref="J160">INDEX('Data Mahasiswa'!B160:I160,MATCH(MIN(VLOOKUP('Data Mahasiswa'!B160:I160,'Data Mahasiswa'!$N$27:$O$36,2,0)),VLOOKUP('Data Mahasiswa'!B160:I160,'Data Mahasiswa'!$N$27:$O$36,2,0),0))</f>
        <v>C</v>
      </c>
      <c r="K160" s="5" t="str">
        <f t="shared" si="8"/>
        <v>Eligible</v>
      </c>
    </row>
    <row r="161" spans="1:11" x14ac:dyDescent="0.3">
      <c r="A161" s="8">
        <v>160</v>
      </c>
      <c r="B161" s="8" t="s">
        <v>211</v>
      </c>
      <c r="C161" s="8" t="s">
        <v>935</v>
      </c>
      <c r="D161" s="8" t="s">
        <v>779</v>
      </c>
      <c r="E161" s="9">
        <f t="shared" si="6"/>
        <v>2025</v>
      </c>
      <c r="F161" s="8" t="str">
        <f>INDEX('Data Mahasiswa'!$N$1:$Q$14, MATCH(MID('Data Status Pendaftar'!B161, 5,2), 'Data Mahasiswa'!$N$1:$N$14,0),2)</f>
        <v>Pertanian</v>
      </c>
      <c r="G161" s="8" t="str" cm="1">
        <f t="array" ref="G161">INDEX('Data Mahasiswa'!$Q$2:$Q$14, MATCH(MID('Data Status Pendaftar'!B161,5,3), 'Data Mahasiswa'!$N$2:$N$14&amp;TEXT('Data Mahasiswa'!$P$2:$P$14,"0"), 0))</f>
        <v>Agroteknologi</v>
      </c>
      <c r="H161" s="9">
        <f t="shared" ca="1" si="7"/>
        <v>2</v>
      </c>
      <c r="I161" s="10">
        <f>INDEX('Data Mahasiswa'!$A$1:$J$701, MATCH('Data Status Pendaftar'!B161, 'Data Mahasiswa'!$A$1:$A$701, 0), 10)</f>
        <v>3.21875</v>
      </c>
      <c r="J161" s="8" t="str" cm="1">
        <f t="array" ref="J161">INDEX('Data Mahasiswa'!B161:I161,MATCH(MIN(VLOOKUP('Data Mahasiswa'!B161:I161,'Data Mahasiswa'!$N$27:$O$36,2,0)),VLOOKUP('Data Mahasiswa'!B161:I161,'Data Mahasiswa'!$N$27:$O$36,2,0),0))</f>
        <v>C</v>
      </c>
      <c r="K161" s="8" t="str">
        <f t="shared" si="8"/>
        <v>Eligible</v>
      </c>
    </row>
    <row r="162" spans="1:11" x14ac:dyDescent="0.3">
      <c r="A162" s="5">
        <v>161</v>
      </c>
      <c r="B162" s="5" t="s">
        <v>212</v>
      </c>
      <c r="C162" s="5" t="s">
        <v>936</v>
      </c>
      <c r="D162" s="5" t="s">
        <v>780</v>
      </c>
      <c r="E162" s="6">
        <f t="shared" si="6"/>
        <v>2025</v>
      </c>
      <c r="F162" s="5" t="str">
        <f>INDEX('Data Mahasiswa'!$N$1:$Q$14, MATCH(MID('Data Status Pendaftar'!B162, 5,2), 'Data Mahasiswa'!$N$1:$N$14,0),2)</f>
        <v>Pertanian</v>
      </c>
      <c r="G162" s="5" t="str" cm="1">
        <f t="array" ref="G162">INDEX('Data Mahasiswa'!$Q$2:$Q$14, MATCH(MID('Data Status Pendaftar'!B162,5,3), 'Data Mahasiswa'!$N$2:$N$14&amp;TEXT('Data Mahasiswa'!$P$2:$P$14,"0"), 0))</f>
        <v>Agroteknologi</v>
      </c>
      <c r="H162" s="6">
        <f t="shared" ca="1" si="7"/>
        <v>2</v>
      </c>
      <c r="I162" s="7">
        <f>INDEX('Data Mahasiswa'!$A$1:$J$701, MATCH('Data Status Pendaftar'!B162, 'Data Mahasiswa'!$A$1:$A$701, 0), 10)</f>
        <v>2.9375</v>
      </c>
      <c r="J162" s="5" t="str" cm="1">
        <f t="array" ref="J162">INDEX('Data Mahasiswa'!B162:I162,MATCH(MIN(VLOOKUP('Data Mahasiswa'!B162:I162,'Data Mahasiswa'!$N$27:$O$36,2,0)),VLOOKUP('Data Mahasiswa'!B162:I162,'Data Mahasiswa'!$N$27:$O$36,2,0),0))</f>
        <v>C+</v>
      </c>
      <c r="K162" s="5" t="str">
        <f t="shared" si="8"/>
        <v>Eligible</v>
      </c>
    </row>
    <row r="163" spans="1:11" x14ac:dyDescent="0.3">
      <c r="A163" s="8">
        <v>162</v>
      </c>
      <c r="B163" s="8" t="s">
        <v>213</v>
      </c>
      <c r="C163" s="8" t="s">
        <v>937</v>
      </c>
      <c r="D163" s="8" t="s">
        <v>780</v>
      </c>
      <c r="E163" s="9">
        <f t="shared" si="6"/>
        <v>2025</v>
      </c>
      <c r="F163" s="8" t="str">
        <f>INDEX('Data Mahasiswa'!$N$1:$Q$14, MATCH(MID('Data Status Pendaftar'!B163, 5,2), 'Data Mahasiswa'!$N$1:$N$14,0),2)</f>
        <v>Pertanian</v>
      </c>
      <c r="G163" s="8" t="str" cm="1">
        <f t="array" ref="G163">INDEX('Data Mahasiswa'!$Q$2:$Q$14, MATCH(MID('Data Status Pendaftar'!B163,5,3), 'Data Mahasiswa'!$N$2:$N$14&amp;TEXT('Data Mahasiswa'!$P$2:$P$14,"0"), 0))</f>
        <v>Agribisnis</v>
      </c>
      <c r="H163" s="9">
        <f t="shared" ca="1" si="7"/>
        <v>2</v>
      </c>
      <c r="I163" s="10">
        <f>INDEX('Data Mahasiswa'!$A$1:$J$701, MATCH('Data Status Pendaftar'!B163, 'Data Mahasiswa'!$A$1:$A$701, 0), 10)</f>
        <v>3.125</v>
      </c>
      <c r="J163" s="8" t="str" cm="1">
        <f t="array" ref="J163">INDEX('Data Mahasiswa'!B163:I163,MATCH(MIN(VLOOKUP('Data Mahasiswa'!B163:I163,'Data Mahasiswa'!$N$27:$O$36,2,0)),VLOOKUP('Data Mahasiswa'!B163:I163,'Data Mahasiswa'!$N$27:$O$36,2,0),0))</f>
        <v>C+</v>
      </c>
      <c r="K163" s="8" t="str">
        <f t="shared" si="8"/>
        <v>Eligible</v>
      </c>
    </row>
    <row r="164" spans="1:11" x14ac:dyDescent="0.3">
      <c r="A164" s="5">
        <v>163</v>
      </c>
      <c r="B164" s="5" t="s">
        <v>214</v>
      </c>
      <c r="C164" s="5" t="s">
        <v>938</v>
      </c>
      <c r="D164" s="5" t="s">
        <v>779</v>
      </c>
      <c r="E164" s="6">
        <f t="shared" si="6"/>
        <v>2025</v>
      </c>
      <c r="F164" s="5" t="str">
        <f>INDEX('Data Mahasiswa'!$N$1:$Q$14, MATCH(MID('Data Status Pendaftar'!B164, 5,2), 'Data Mahasiswa'!$N$1:$N$14,0),2)</f>
        <v>Pertanian</v>
      </c>
      <c r="G164" s="5" t="str" cm="1">
        <f t="array" ref="G164">INDEX('Data Mahasiswa'!$Q$2:$Q$14, MATCH(MID('Data Status Pendaftar'!B164,5,3), 'Data Mahasiswa'!$N$2:$N$14&amp;TEXT('Data Mahasiswa'!$P$2:$P$14,"0"), 0))</f>
        <v>Agribisnis</v>
      </c>
      <c r="H164" s="6">
        <f t="shared" ca="1" si="7"/>
        <v>2</v>
      </c>
      <c r="I164" s="7">
        <f>INDEX('Data Mahasiswa'!$A$1:$J$701, MATCH('Data Status Pendaftar'!B164, 'Data Mahasiswa'!$A$1:$A$701, 0), 10)</f>
        <v>3.2395833333333335</v>
      </c>
      <c r="J164" s="5" t="str" cm="1">
        <f t="array" ref="J164">INDEX('Data Mahasiswa'!B164:I164,MATCH(MIN(VLOOKUP('Data Mahasiswa'!B164:I164,'Data Mahasiswa'!$N$27:$O$36,2,0)),VLOOKUP('Data Mahasiswa'!B164:I164,'Data Mahasiswa'!$N$27:$O$36,2,0),0))</f>
        <v>C</v>
      </c>
      <c r="K164" s="5" t="str">
        <f t="shared" si="8"/>
        <v>Eligible</v>
      </c>
    </row>
    <row r="165" spans="1:11" x14ac:dyDescent="0.3">
      <c r="A165" s="8">
        <v>164</v>
      </c>
      <c r="B165" s="8" t="s">
        <v>215</v>
      </c>
      <c r="C165" s="8" t="s">
        <v>939</v>
      </c>
      <c r="D165" s="8" t="s">
        <v>780</v>
      </c>
      <c r="E165" s="9">
        <f t="shared" si="6"/>
        <v>2025</v>
      </c>
      <c r="F165" s="8" t="str">
        <f>INDEX('Data Mahasiswa'!$N$1:$Q$14, MATCH(MID('Data Status Pendaftar'!B165, 5,2), 'Data Mahasiswa'!$N$1:$N$14,0),2)</f>
        <v>Pertanian</v>
      </c>
      <c r="G165" s="8" t="str" cm="1">
        <f t="array" ref="G165">INDEX('Data Mahasiswa'!$Q$2:$Q$14, MATCH(MID('Data Status Pendaftar'!B165,5,3), 'Data Mahasiswa'!$N$2:$N$14&amp;TEXT('Data Mahasiswa'!$P$2:$P$14,"0"), 0))</f>
        <v>Agribisnis</v>
      </c>
      <c r="H165" s="9">
        <f t="shared" ca="1" si="7"/>
        <v>2</v>
      </c>
      <c r="I165" s="10">
        <f>INDEX('Data Mahasiswa'!$A$1:$J$701, MATCH('Data Status Pendaftar'!B165, 'Data Mahasiswa'!$A$1:$A$701, 0), 10)</f>
        <v>2.9895833333333335</v>
      </c>
      <c r="J165" s="8" t="str" cm="1">
        <f t="array" ref="J165">INDEX('Data Mahasiswa'!B165:I165,MATCH(MIN(VLOOKUP('Data Mahasiswa'!B165:I165,'Data Mahasiswa'!$N$27:$O$36,2,0)),VLOOKUP('Data Mahasiswa'!B165:I165,'Data Mahasiswa'!$N$27:$O$36,2,0),0))</f>
        <v>E</v>
      </c>
      <c r="K165" s="8" t="str">
        <f t="shared" si="8"/>
        <v>Tidak Eligible</v>
      </c>
    </row>
    <row r="166" spans="1:11" x14ac:dyDescent="0.3">
      <c r="A166" s="5">
        <v>165</v>
      </c>
      <c r="B166" s="5" t="s">
        <v>216</v>
      </c>
      <c r="C166" s="5" t="s">
        <v>940</v>
      </c>
      <c r="D166" s="5" t="s">
        <v>779</v>
      </c>
      <c r="E166" s="6">
        <f t="shared" si="6"/>
        <v>2025</v>
      </c>
      <c r="F166" s="5" t="str">
        <f>INDEX('Data Mahasiswa'!$N$1:$Q$14, MATCH(MID('Data Status Pendaftar'!B166, 5,2), 'Data Mahasiswa'!$N$1:$N$14,0),2)</f>
        <v>Pertanian</v>
      </c>
      <c r="G166" s="5" t="str" cm="1">
        <f t="array" ref="G166">INDEX('Data Mahasiswa'!$Q$2:$Q$14, MATCH(MID('Data Status Pendaftar'!B166,5,3), 'Data Mahasiswa'!$N$2:$N$14&amp;TEXT('Data Mahasiswa'!$P$2:$P$14,"0"), 0))</f>
        <v>Agribisnis</v>
      </c>
      <c r="H166" s="6">
        <f t="shared" ca="1" si="7"/>
        <v>2</v>
      </c>
      <c r="I166" s="7">
        <f>INDEX('Data Mahasiswa'!$A$1:$J$701, MATCH('Data Status Pendaftar'!B166, 'Data Mahasiswa'!$A$1:$A$701, 0), 10)</f>
        <v>2.7395833333333335</v>
      </c>
      <c r="J166" s="5" t="str" cm="1">
        <f t="array" ref="J166">INDEX('Data Mahasiswa'!B166:I166,MATCH(MIN(VLOOKUP('Data Mahasiswa'!B166:I166,'Data Mahasiswa'!$N$27:$O$36,2,0)),VLOOKUP('Data Mahasiswa'!B166:I166,'Data Mahasiswa'!$N$27:$O$36,2,0),0))</f>
        <v>E</v>
      </c>
      <c r="K166" s="5" t="str">
        <f t="shared" si="8"/>
        <v>Tidak Eligible</v>
      </c>
    </row>
    <row r="167" spans="1:11" x14ac:dyDescent="0.3">
      <c r="A167" s="8">
        <v>166</v>
      </c>
      <c r="B167" s="8" t="s">
        <v>217</v>
      </c>
      <c r="C167" s="8" t="s">
        <v>941</v>
      </c>
      <c r="D167" s="8" t="s">
        <v>780</v>
      </c>
      <c r="E167" s="9">
        <f t="shared" si="6"/>
        <v>2025</v>
      </c>
      <c r="F167" s="8" t="str">
        <f>INDEX('Data Mahasiswa'!$N$1:$Q$14, MATCH(MID('Data Status Pendaftar'!B167, 5,2), 'Data Mahasiswa'!$N$1:$N$14,0),2)</f>
        <v>Pertanian</v>
      </c>
      <c r="G167" s="8" t="str" cm="1">
        <f t="array" ref="G167">INDEX('Data Mahasiswa'!$Q$2:$Q$14, MATCH(MID('Data Status Pendaftar'!B167,5,3), 'Data Mahasiswa'!$N$2:$N$14&amp;TEXT('Data Mahasiswa'!$P$2:$P$14,"0"), 0))</f>
        <v>Agribisnis</v>
      </c>
      <c r="H167" s="9">
        <f t="shared" ca="1" si="7"/>
        <v>2</v>
      </c>
      <c r="I167" s="10">
        <f>INDEX('Data Mahasiswa'!$A$1:$J$701, MATCH('Data Status Pendaftar'!B167, 'Data Mahasiswa'!$A$1:$A$701, 0), 10)</f>
        <v>3.3645833333333335</v>
      </c>
      <c r="J167" s="8" t="str" cm="1">
        <f t="array" ref="J167">INDEX('Data Mahasiswa'!B167:I167,MATCH(MIN(VLOOKUP('Data Mahasiswa'!B167:I167,'Data Mahasiswa'!$N$27:$O$36,2,0)),VLOOKUP('Data Mahasiswa'!B167:I167,'Data Mahasiswa'!$N$27:$O$36,2,0),0))</f>
        <v>C+</v>
      </c>
      <c r="K167" s="8" t="str">
        <f t="shared" si="8"/>
        <v>Eligible</v>
      </c>
    </row>
    <row r="168" spans="1:11" x14ac:dyDescent="0.3">
      <c r="A168" s="5">
        <v>167</v>
      </c>
      <c r="B168" s="5" t="s">
        <v>218</v>
      </c>
      <c r="C168" s="5" t="s">
        <v>942</v>
      </c>
      <c r="D168" s="5" t="s">
        <v>780</v>
      </c>
      <c r="E168" s="6">
        <f t="shared" si="6"/>
        <v>2025</v>
      </c>
      <c r="F168" s="5" t="str">
        <f>INDEX('Data Mahasiswa'!$N$1:$Q$14, MATCH(MID('Data Status Pendaftar'!B168, 5,2), 'Data Mahasiswa'!$N$1:$N$14,0),2)</f>
        <v>Pertanian</v>
      </c>
      <c r="G168" s="5" t="str" cm="1">
        <f t="array" ref="G168">INDEX('Data Mahasiswa'!$Q$2:$Q$14, MATCH(MID('Data Status Pendaftar'!B168,5,3), 'Data Mahasiswa'!$N$2:$N$14&amp;TEXT('Data Mahasiswa'!$P$2:$P$14,"0"), 0))</f>
        <v>Agribisnis</v>
      </c>
      <c r="H168" s="6">
        <f t="shared" ca="1" si="7"/>
        <v>2</v>
      </c>
      <c r="I168" s="7">
        <f>INDEX('Data Mahasiswa'!$A$1:$J$701, MATCH('Data Status Pendaftar'!B168, 'Data Mahasiswa'!$A$1:$A$701, 0), 10)</f>
        <v>3.0416666666666665</v>
      </c>
      <c r="J168" s="5" t="str" cm="1">
        <f t="array" ref="J168">INDEX('Data Mahasiswa'!B168:I168,MATCH(MIN(VLOOKUP('Data Mahasiswa'!B168:I168,'Data Mahasiswa'!$N$27:$O$36,2,0)),VLOOKUP('Data Mahasiswa'!B168:I168,'Data Mahasiswa'!$N$27:$O$36,2,0),0))</f>
        <v>B-</v>
      </c>
      <c r="K168" s="5" t="str">
        <f t="shared" si="8"/>
        <v>Eligible</v>
      </c>
    </row>
    <row r="169" spans="1:11" x14ac:dyDescent="0.3">
      <c r="A169" s="8">
        <v>168</v>
      </c>
      <c r="B169" s="8" t="s">
        <v>219</v>
      </c>
      <c r="C169" s="8" t="s">
        <v>943</v>
      </c>
      <c r="D169" s="8" t="s">
        <v>779</v>
      </c>
      <c r="E169" s="9">
        <f t="shared" si="6"/>
        <v>2025</v>
      </c>
      <c r="F169" s="8" t="str">
        <f>INDEX('Data Mahasiswa'!$N$1:$Q$14, MATCH(MID('Data Status Pendaftar'!B169, 5,2), 'Data Mahasiswa'!$N$1:$N$14,0),2)</f>
        <v>Pertanian</v>
      </c>
      <c r="G169" s="8" t="str" cm="1">
        <f t="array" ref="G169">INDEX('Data Mahasiswa'!$Q$2:$Q$14, MATCH(MID('Data Status Pendaftar'!B169,5,3), 'Data Mahasiswa'!$N$2:$N$14&amp;TEXT('Data Mahasiswa'!$P$2:$P$14,"0"), 0))</f>
        <v>Agribisnis</v>
      </c>
      <c r="H169" s="9">
        <f t="shared" ca="1" si="7"/>
        <v>2</v>
      </c>
      <c r="I169" s="10">
        <f>INDEX('Data Mahasiswa'!$A$1:$J$701, MATCH('Data Status Pendaftar'!B169, 'Data Mahasiswa'!$A$1:$A$701, 0), 10)</f>
        <v>2.7916666666666665</v>
      </c>
      <c r="J169" s="8" t="str" cm="1">
        <f t="array" ref="J169">INDEX('Data Mahasiswa'!B169:I169,MATCH(MIN(VLOOKUP('Data Mahasiswa'!B169:I169,'Data Mahasiswa'!$N$27:$O$36,2,0)),VLOOKUP('Data Mahasiswa'!B169:I169,'Data Mahasiswa'!$N$27:$O$36,2,0),0))</f>
        <v>C</v>
      </c>
      <c r="K169" s="8" t="str">
        <f t="shared" si="8"/>
        <v>Eligible</v>
      </c>
    </row>
    <row r="170" spans="1:11" x14ac:dyDescent="0.3">
      <c r="A170" s="5">
        <v>169</v>
      </c>
      <c r="B170" s="5" t="s">
        <v>220</v>
      </c>
      <c r="C170" s="5" t="s">
        <v>822</v>
      </c>
      <c r="D170" s="5" t="s">
        <v>780</v>
      </c>
      <c r="E170" s="6">
        <f t="shared" si="6"/>
        <v>2025</v>
      </c>
      <c r="F170" s="5" t="str">
        <f>INDEX('Data Mahasiswa'!$N$1:$Q$14, MATCH(MID('Data Status Pendaftar'!B170, 5,2), 'Data Mahasiswa'!$N$1:$N$14,0),2)</f>
        <v>Pertanian</v>
      </c>
      <c r="G170" s="5" t="str" cm="1">
        <f t="array" ref="G170">INDEX('Data Mahasiswa'!$Q$2:$Q$14, MATCH(MID('Data Status Pendaftar'!B170,5,3), 'Data Mahasiswa'!$N$2:$N$14&amp;TEXT('Data Mahasiswa'!$P$2:$P$14,"0"), 0))</f>
        <v>Agribisnis</v>
      </c>
      <c r="H170" s="6">
        <f t="shared" ca="1" si="7"/>
        <v>2</v>
      </c>
      <c r="I170" s="7">
        <f>INDEX('Data Mahasiswa'!$A$1:$J$701, MATCH('Data Status Pendaftar'!B170, 'Data Mahasiswa'!$A$1:$A$701, 0), 10)</f>
        <v>2.8020833333333335</v>
      </c>
      <c r="J170" s="5" t="str" cm="1">
        <f t="array" ref="J170">INDEX('Data Mahasiswa'!B170:I170,MATCH(MIN(VLOOKUP('Data Mahasiswa'!B170:I170,'Data Mahasiswa'!$N$27:$O$36,2,0)),VLOOKUP('Data Mahasiswa'!B170:I170,'Data Mahasiswa'!$N$27:$O$36,2,0),0))</f>
        <v>C</v>
      </c>
      <c r="K170" s="5" t="str">
        <f t="shared" si="8"/>
        <v>Eligible</v>
      </c>
    </row>
    <row r="171" spans="1:11" x14ac:dyDescent="0.3">
      <c r="A171" s="8">
        <v>170</v>
      </c>
      <c r="B171" s="8" t="s">
        <v>221</v>
      </c>
      <c r="C171" s="8" t="s">
        <v>944</v>
      </c>
      <c r="D171" s="8" t="s">
        <v>779</v>
      </c>
      <c r="E171" s="9">
        <f t="shared" si="6"/>
        <v>2025</v>
      </c>
      <c r="F171" s="8" t="str">
        <f>INDEX('Data Mahasiswa'!$N$1:$Q$14, MATCH(MID('Data Status Pendaftar'!B171, 5,2), 'Data Mahasiswa'!$N$1:$N$14,0),2)</f>
        <v>Pertanian</v>
      </c>
      <c r="G171" s="8" t="str" cm="1">
        <f t="array" ref="G171">INDEX('Data Mahasiswa'!$Q$2:$Q$14, MATCH(MID('Data Status Pendaftar'!B171,5,3), 'Data Mahasiswa'!$N$2:$N$14&amp;TEXT('Data Mahasiswa'!$P$2:$P$14,"0"), 0))</f>
        <v>Agribisnis</v>
      </c>
      <c r="H171" s="9">
        <f t="shared" ca="1" si="7"/>
        <v>2</v>
      </c>
      <c r="I171" s="10">
        <f>INDEX('Data Mahasiswa'!$A$1:$J$701, MATCH('Data Status Pendaftar'!B171, 'Data Mahasiswa'!$A$1:$A$701, 0), 10)</f>
        <v>3.3020833333333335</v>
      </c>
      <c r="J171" s="8" t="str" cm="1">
        <f t="array" ref="J171">INDEX('Data Mahasiswa'!B171:I171,MATCH(MIN(VLOOKUP('Data Mahasiswa'!B171:I171,'Data Mahasiswa'!$N$27:$O$36,2,0)),VLOOKUP('Data Mahasiswa'!B171:I171,'Data Mahasiswa'!$N$27:$O$36,2,0),0))</f>
        <v>C+</v>
      </c>
      <c r="K171" s="8" t="str">
        <f t="shared" si="8"/>
        <v>Eligible</v>
      </c>
    </row>
    <row r="172" spans="1:11" x14ac:dyDescent="0.3">
      <c r="A172" s="5">
        <v>171</v>
      </c>
      <c r="B172" s="5" t="s">
        <v>222</v>
      </c>
      <c r="C172" s="5" t="s">
        <v>945</v>
      </c>
      <c r="D172" s="5" t="s">
        <v>779</v>
      </c>
      <c r="E172" s="6">
        <f t="shared" si="6"/>
        <v>2025</v>
      </c>
      <c r="F172" s="5" t="str">
        <f>INDEX('Data Mahasiswa'!$N$1:$Q$14, MATCH(MID('Data Status Pendaftar'!B172, 5,2), 'Data Mahasiswa'!$N$1:$N$14,0),2)</f>
        <v>Pertanian</v>
      </c>
      <c r="G172" s="5" t="str" cm="1">
        <f t="array" ref="G172">INDEX('Data Mahasiswa'!$Q$2:$Q$14, MATCH(MID('Data Status Pendaftar'!B172,5,3), 'Data Mahasiswa'!$N$2:$N$14&amp;TEXT('Data Mahasiswa'!$P$2:$P$14,"0"), 0))</f>
        <v>Agribisnis</v>
      </c>
      <c r="H172" s="6">
        <f t="shared" ca="1" si="7"/>
        <v>2</v>
      </c>
      <c r="I172" s="7">
        <f>INDEX('Data Mahasiswa'!$A$1:$J$701, MATCH('Data Status Pendaftar'!B172, 'Data Mahasiswa'!$A$1:$A$701, 0), 10)</f>
        <v>2.875</v>
      </c>
      <c r="J172" s="5" t="str" cm="1">
        <f t="array" ref="J172">INDEX('Data Mahasiswa'!B172:I172,MATCH(MIN(VLOOKUP('Data Mahasiswa'!B172:I172,'Data Mahasiswa'!$N$27:$O$36,2,0)),VLOOKUP('Data Mahasiswa'!B172:I172,'Data Mahasiswa'!$N$27:$O$36,2,0),0))</f>
        <v>D</v>
      </c>
      <c r="K172" s="5" t="str">
        <f t="shared" si="8"/>
        <v>Tidak Eligible</v>
      </c>
    </row>
    <row r="173" spans="1:11" x14ac:dyDescent="0.3">
      <c r="A173" s="8">
        <v>172</v>
      </c>
      <c r="B173" s="8" t="s">
        <v>223</v>
      </c>
      <c r="C173" s="8" t="s">
        <v>946</v>
      </c>
      <c r="D173" s="8" t="s">
        <v>779</v>
      </c>
      <c r="E173" s="9">
        <f t="shared" si="6"/>
        <v>2025</v>
      </c>
      <c r="F173" s="8" t="str">
        <f>INDEX('Data Mahasiswa'!$N$1:$Q$14, MATCH(MID('Data Status Pendaftar'!B173, 5,2), 'Data Mahasiswa'!$N$1:$N$14,0),2)</f>
        <v>Pertanian</v>
      </c>
      <c r="G173" s="8" t="str" cm="1">
        <f t="array" ref="G173">INDEX('Data Mahasiswa'!$Q$2:$Q$14, MATCH(MID('Data Status Pendaftar'!B173,5,3), 'Data Mahasiswa'!$N$2:$N$14&amp;TEXT('Data Mahasiswa'!$P$2:$P$14,"0"), 0))</f>
        <v>Agribisnis</v>
      </c>
      <c r="H173" s="9">
        <f t="shared" ca="1" si="7"/>
        <v>2</v>
      </c>
      <c r="I173" s="10">
        <f>INDEX('Data Mahasiswa'!$A$1:$J$701, MATCH('Data Status Pendaftar'!B173, 'Data Mahasiswa'!$A$1:$A$701, 0), 10)</f>
        <v>2.3541666666666665</v>
      </c>
      <c r="J173" s="8" t="str" cm="1">
        <f t="array" ref="J173">INDEX('Data Mahasiswa'!B173:I173,MATCH(MIN(VLOOKUP('Data Mahasiswa'!B173:I173,'Data Mahasiswa'!$N$27:$O$36,2,0)),VLOOKUP('Data Mahasiswa'!B173:I173,'Data Mahasiswa'!$N$27:$O$36,2,0),0))</f>
        <v>E</v>
      </c>
      <c r="K173" s="8" t="str">
        <f t="shared" si="8"/>
        <v>Tidak Eligible</v>
      </c>
    </row>
    <row r="174" spans="1:11" x14ac:dyDescent="0.3">
      <c r="A174" s="5">
        <v>173</v>
      </c>
      <c r="B174" s="5" t="s">
        <v>224</v>
      </c>
      <c r="C174" s="5" t="s">
        <v>947</v>
      </c>
      <c r="D174" s="5" t="s">
        <v>780</v>
      </c>
      <c r="E174" s="6">
        <f t="shared" si="6"/>
        <v>2025</v>
      </c>
      <c r="F174" s="5" t="str">
        <f>INDEX('Data Mahasiswa'!$N$1:$Q$14, MATCH(MID('Data Status Pendaftar'!B174, 5,2), 'Data Mahasiswa'!$N$1:$N$14,0),2)</f>
        <v>Pertanian</v>
      </c>
      <c r="G174" s="5" t="str" cm="1">
        <f t="array" ref="G174">INDEX('Data Mahasiswa'!$Q$2:$Q$14, MATCH(MID('Data Status Pendaftar'!B174,5,3), 'Data Mahasiswa'!$N$2:$N$14&amp;TEXT('Data Mahasiswa'!$P$2:$P$14,"0"), 0))</f>
        <v>Agribisnis</v>
      </c>
      <c r="H174" s="6">
        <f t="shared" ca="1" si="7"/>
        <v>2</v>
      </c>
      <c r="I174" s="7">
        <f>INDEX('Data Mahasiswa'!$A$1:$J$701, MATCH('Data Status Pendaftar'!B174, 'Data Mahasiswa'!$A$1:$A$701, 0), 10)</f>
        <v>3.0520833333333335</v>
      </c>
      <c r="J174" s="5" t="str" cm="1">
        <f t="array" ref="J174">INDEX('Data Mahasiswa'!B174:I174,MATCH(MIN(VLOOKUP('Data Mahasiswa'!B174:I174,'Data Mahasiswa'!$N$27:$O$36,2,0)),VLOOKUP('Data Mahasiswa'!B174:I174,'Data Mahasiswa'!$N$27:$O$36,2,0),0))</f>
        <v>C+</v>
      </c>
      <c r="K174" s="5" t="str">
        <f t="shared" si="8"/>
        <v>Eligible</v>
      </c>
    </row>
    <row r="175" spans="1:11" x14ac:dyDescent="0.3">
      <c r="A175" s="8">
        <v>174</v>
      </c>
      <c r="B175" s="8" t="s">
        <v>225</v>
      </c>
      <c r="C175" s="8" t="s">
        <v>948</v>
      </c>
      <c r="D175" s="8" t="s">
        <v>780</v>
      </c>
      <c r="E175" s="9">
        <f t="shared" si="6"/>
        <v>2025</v>
      </c>
      <c r="F175" s="8" t="str">
        <f>INDEX('Data Mahasiswa'!$N$1:$Q$14, MATCH(MID('Data Status Pendaftar'!B175, 5,2), 'Data Mahasiswa'!$N$1:$N$14,0),2)</f>
        <v>Pertanian</v>
      </c>
      <c r="G175" s="8" t="str" cm="1">
        <f t="array" ref="G175">INDEX('Data Mahasiswa'!$Q$2:$Q$14, MATCH(MID('Data Status Pendaftar'!B175,5,3), 'Data Mahasiswa'!$N$2:$N$14&amp;TEXT('Data Mahasiswa'!$P$2:$P$14,"0"), 0))</f>
        <v>Agribisnis</v>
      </c>
      <c r="H175" s="9">
        <f t="shared" ca="1" si="7"/>
        <v>2</v>
      </c>
      <c r="I175" s="10">
        <f>INDEX('Data Mahasiswa'!$A$1:$J$701, MATCH('Data Status Pendaftar'!B175, 'Data Mahasiswa'!$A$1:$A$701, 0), 10)</f>
        <v>2.40625</v>
      </c>
      <c r="J175" s="8" t="str" cm="1">
        <f t="array" ref="J175">INDEX('Data Mahasiswa'!B175:I175,MATCH(MIN(VLOOKUP('Data Mahasiswa'!B175:I175,'Data Mahasiswa'!$N$27:$O$36,2,0)),VLOOKUP('Data Mahasiswa'!B175:I175,'Data Mahasiswa'!$N$27:$O$36,2,0),0))</f>
        <v>E</v>
      </c>
      <c r="K175" s="8" t="str">
        <f t="shared" si="8"/>
        <v>Tidak Eligible</v>
      </c>
    </row>
    <row r="176" spans="1:11" x14ac:dyDescent="0.3">
      <c r="A176" s="5">
        <v>175</v>
      </c>
      <c r="B176" s="5" t="s">
        <v>226</v>
      </c>
      <c r="C176" s="5" t="s">
        <v>949</v>
      </c>
      <c r="D176" s="5" t="s">
        <v>779</v>
      </c>
      <c r="E176" s="6">
        <f t="shared" si="6"/>
        <v>2025</v>
      </c>
      <c r="F176" s="5" t="str">
        <f>INDEX('Data Mahasiswa'!$N$1:$Q$14, MATCH(MID('Data Status Pendaftar'!B176, 5,2), 'Data Mahasiswa'!$N$1:$N$14,0),2)</f>
        <v>Pertanian</v>
      </c>
      <c r="G176" s="5" t="str" cm="1">
        <f t="array" ref="G176">INDEX('Data Mahasiswa'!$Q$2:$Q$14, MATCH(MID('Data Status Pendaftar'!B176,5,3), 'Data Mahasiswa'!$N$2:$N$14&amp;TEXT('Data Mahasiswa'!$P$2:$P$14,"0"), 0))</f>
        <v>Agribisnis</v>
      </c>
      <c r="H176" s="6">
        <f t="shared" ca="1" si="7"/>
        <v>2</v>
      </c>
      <c r="I176" s="7">
        <f>INDEX('Data Mahasiswa'!$A$1:$J$701, MATCH('Data Status Pendaftar'!B176, 'Data Mahasiswa'!$A$1:$A$701, 0), 10)</f>
        <v>3.5208333333333335</v>
      </c>
      <c r="J176" s="5" t="str" cm="1">
        <f t="array" ref="J176">INDEX('Data Mahasiswa'!B176:I176,MATCH(MIN(VLOOKUP('Data Mahasiswa'!B176:I176,'Data Mahasiswa'!$N$27:$O$36,2,0)),VLOOKUP('Data Mahasiswa'!B176:I176,'Data Mahasiswa'!$N$27:$O$36,2,0),0))</f>
        <v>B-</v>
      </c>
      <c r="K176" s="5" t="str">
        <f t="shared" si="8"/>
        <v>Eligible</v>
      </c>
    </row>
    <row r="177" spans="1:11" x14ac:dyDescent="0.3">
      <c r="A177" s="8">
        <v>176</v>
      </c>
      <c r="B177" s="8" t="s">
        <v>227</v>
      </c>
      <c r="C177" s="8" t="s">
        <v>950</v>
      </c>
      <c r="D177" s="8" t="s">
        <v>779</v>
      </c>
      <c r="E177" s="9">
        <f t="shared" si="6"/>
        <v>2025</v>
      </c>
      <c r="F177" s="8" t="str">
        <f>INDEX('Data Mahasiswa'!$N$1:$Q$14, MATCH(MID('Data Status Pendaftar'!B177, 5,2), 'Data Mahasiswa'!$N$1:$N$14,0),2)</f>
        <v>Pertanian</v>
      </c>
      <c r="G177" s="8" t="str" cm="1">
        <f t="array" ref="G177">INDEX('Data Mahasiswa'!$Q$2:$Q$14, MATCH(MID('Data Status Pendaftar'!B177,5,3), 'Data Mahasiswa'!$N$2:$N$14&amp;TEXT('Data Mahasiswa'!$P$2:$P$14,"0"), 0))</f>
        <v>Agribisnis</v>
      </c>
      <c r="H177" s="9">
        <f t="shared" ca="1" si="7"/>
        <v>2</v>
      </c>
      <c r="I177" s="10">
        <f>INDEX('Data Mahasiswa'!$A$1:$J$701, MATCH('Data Status Pendaftar'!B177, 'Data Mahasiswa'!$A$1:$A$701, 0), 10)</f>
        <v>3.0833333333333335</v>
      </c>
      <c r="J177" s="8" t="str" cm="1">
        <f t="array" ref="J177">INDEX('Data Mahasiswa'!B177:I177,MATCH(MIN(VLOOKUP('Data Mahasiswa'!B177:I177,'Data Mahasiswa'!$N$27:$O$36,2,0)),VLOOKUP('Data Mahasiswa'!B177:I177,'Data Mahasiswa'!$N$27:$O$36,2,0),0))</f>
        <v>D</v>
      </c>
      <c r="K177" s="8" t="str">
        <f t="shared" si="8"/>
        <v>Tidak Eligible</v>
      </c>
    </row>
    <row r="178" spans="1:11" x14ac:dyDescent="0.3">
      <c r="A178" s="5">
        <v>177</v>
      </c>
      <c r="B178" s="5" t="s">
        <v>228</v>
      </c>
      <c r="C178" s="5" t="s">
        <v>951</v>
      </c>
      <c r="D178" s="5" t="s">
        <v>780</v>
      </c>
      <c r="E178" s="6">
        <f t="shared" si="6"/>
        <v>2025</v>
      </c>
      <c r="F178" s="5" t="str">
        <f>INDEX('Data Mahasiswa'!$N$1:$Q$14, MATCH(MID('Data Status Pendaftar'!B178, 5,2), 'Data Mahasiswa'!$N$1:$N$14,0),2)</f>
        <v>Pertanian</v>
      </c>
      <c r="G178" s="5" t="str" cm="1">
        <f t="array" ref="G178">INDEX('Data Mahasiswa'!$Q$2:$Q$14, MATCH(MID('Data Status Pendaftar'!B178,5,3), 'Data Mahasiswa'!$N$2:$N$14&amp;TEXT('Data Mahasiswa'!$P$2:$P$14,"0"), 0))</f>
        <v>Agribisnis</v>
      </c>
      <c r="H178" s="6">
        <f t="shared" ca="1" si="7"/>
        <v>2</v>
      </c>
      <c r="I178" s="7">
        <f>INDEX('Data Mahasiswa'!$A$1:$J$701, MATCH('Data Status Pendaftar'!B178, 'Data Mahasiswa'!$A$1:$A$701, 0), 10)</f>
        <v>3.1666666666666665</v>
      </c>
      <c r="J178" s="5" t="str" cm="1">
        <f t="array" ref="J178">INDEX('Data Mahasiswa'!B178:I178,MATCH(MIN(VLOOKUP('Data Mahasiswa'!B178:I178,'Data Mahasiswa'!$N$27:$O$36,2,0)),VLOOKUP('Data Mahasiswa'!B178:I178,'Data Mahasiswa'!$N$27:$O$36,2,0),0))</f>
        <v>C+</v>
      </c>
      <c r="K178" s="5" t="str">
        <f t="shared" si="8"/>
        <v>Eligible</v>
      </c>
    </row>
    <row r="179" spans="1:11" x14ac:dyDescent="0.3">
      <c r="A179" s="8">
        <v>178</v>
      </c>
      <c r="B179" s="8" t="s">
        <v>229</v>
      </c>
      <c r="C179" s="8" t="s">
        <v>952</v>
      </c>
      <c r="D179" s="8" t="s">
        <v>780</v>
      </c>
      <c r="E179" s="9">
        <f t="shared" si="6"/>
        <v>2025</v>
      </c>
      <c r="F179" s="8" t="str">
        <f>INDEX('Data Mahasiswa'!$N$1:$Q$14, MATCH(MID('Data Status Pendaftar'!B179, 5,2), 'Data Mahasiswa'!$N$1:$N$14,0),2)</f>
        <v>Pertanian</v>
      </c>
      <c r="G179" s="8" t="str" cm="1">
        <f t="array" ref="G179">INDEX('Data Mahasiswa'!$Q$2:$Q$14, MATCH(MID('Data Status Pendaftar'!B179,5,3), 'Data Mahasiswa'!$N$2:$N$14&amp;TEXT('Data Mahasiswa'!$P$2:$P$14,"0"), 0))</f>
        <v>Agribisnis</v>
      </c>
      <c r="H179" s="9">
        <f t="shared" ca="1" si="7"/>
        <v>2</v>
      </c>
      <c r="I179" s="10">
        <f>INDEX('Data Mahasiswa'!$A$1:$J$701, MATCH('Data Status Pendaftar'!B179, 'Data Mahasiswa'!$A$1:$A$701, 0), 10)</f>
        <v>2.84375</v>
      </c>
      <c r="J179" s="8" t="str" cm="1">
        <f t="array" ref="J179">INDEX('Data Mahasiswa'!B179:I179,MATCH(MIN(VLOOKUP('Data Mahasiswa'!B179:I179,'Data Mahasiswa'!$N$27:$O$36,2,0)),VLOOKUP('Data Mahasiswa'!B179:I179,'Data Mahasiswa'!$N$27:$O$36,2,0),0))</f>
        <v>D</v>
      </c>
      <c r="K179" s="8" t="str">
        <f t="shared" si="8"/>
        <v>Tidak Eligible</v>
      </c>
    </row>
    <row r="180" spans="1:11" x14ac:dyDescent="0.3">
      <c r="A180" s="5">
        <v>179</v>
      </c>
      <c r="B180" s="5" t="s">
        <v>230</v>
      </c>
      <c r="C180" s="5" t="s">
        <v>953</v>
      </c>
      <c r="D180" s="5" t="s">
        <v>780</v>
      </c>
      <c r="E180" s="6">
        <f t="shared" si="6"/>
        <v>2025</v>
      </c>
      <c r="F180" s="5" t="str">
        <f>INDEX('Data Mahasiswa'!$N$1:$Q$14, MATCH(MID('Data Status Pendaftar'!B180, 5,2), 'Data Mahasiswa'!$N$1:$N$14,0),2)</f>
        <v>Pertanian</v>
      </c>
      <c r="G180" s="5" t="str" cm="1">
        <f t="array" ref="G180">INDEX('Data Mahasiswa'!$Q$2:$Q$14, MATCH(MID('Data Status Pendaftar'!B180,5,3), 'Data Mahasiswa'!$N$2:$N$14&amp;TEXT('Data Mahasiswa'!$P$2:$P$14,"0"), 0))</f>
        <v>Agribisnis</v>
      </c>
      <c r="H180" s="6">
        <f t="shared" ca="1" si="7"/>
        <v>2</v>
      </c>
      <c r="I180" s="7">
        <f>INDEX('Data Mahasiswa'!$A$1:$J$701, MATCH('Data Status Pendaftar'!B180, 'Data Mahasiswa'!$A$1:$A$701, 0), 10)</f>
        <v>3.3541666666666665</v>
      </c>
      <c r="J180" s="5" t="str" cm="1">
        <f t="array" ref="J180">INDEX('Data Mahasiswa'!B180:I180,MATCH(MIN(VLOOKUP('Data Mahasiswa'!B180:I180,'Data Mahasiswa'!$N$27:$O$36,2,0)),VLOOKUP('Data Mahasiswa'!B180:I180,'Data Mahasiswa'!$N$27:$O$36,2,0),0))</f>
        <v>C</v>
      </c>
      <c r="K180" s="5" t="str">
        <f t="shared" si="8"/>
        <v>Eligible</v>
      </c>
    </row>
    <row r="181" spans="1:11" x14ac:dyDescent="0.3">
      <c r="A181" s="8">
        <v>180</v>
      </c>
      <c r="B181" s="8" t="s">
        <v>231</v>
      </c>
      <c r="C181" s="8" t="s">
        <v>954</v>
      </c>
      <c r="D181" s="8" t="s">
        <v>780</v>
      </c>
      <c r="E181" s="9">
        <f t="shared" si="6"/>
        <v>2025</v>
      </c>
      <c r="F181" s="8" t="str">
        <f>INDEX('Data Mahasiswa'!$N$1:$Q$14, MATCH(MID('Data Status Pendaftar'!B181, 5,2), 'Data Mahasiswa'!$N$1:$N$14,0),2)</f>
        <v>Ilmu Sosial</v>
      </c>
      <c r="G181" s="8" t="str" cm="1">
        <f t="array" ref="G181">INDEX('Data Mahasiswa'!$Q$2:$Q$14, MATCH(MID('Data Status Pendaftar'!B181,5,3), 'Data Mahasiswa'!$N$2:$N$14&amp;TEXT('Data Mahasiswa'!$P$2:$P$14,"0"), 0))</f>
        <v>Administrasi Publik</v>
      </c>
      <c r="H181" s="9">
        <f t="shared" ca="1" si="7"/>
        <v>2</v>
      </c>
      <c r="I181" s="10">
        <f>INDEX('Data Mahasiswa'!$A$1:$J$701, MATCH('Data Status Pendaftar'!B181, 'Data Mahasiswa'!$A$1:$A$701, 0), 10)</f>
        <v>3.4479166666666665</v>
      </c>
      <c r="J181" s="8" t="str" cm="1">
        <f t="array" ref="J181">INDEX('Data Mahasiswa'!B181:I181,MATCH(MIN(VLOOKUP('Data Mahasiswa'!B181:I181,'Data Mahasiswa'!$N$27:$O$36,2,0)),VLOOKUP('Data Mahasiswa'!B181:I181,'Data Mahasiswa'!$N$27:$O$36,2,0),0))</f>
        <v>B-</v>
      </c>
      <c r="K181" s="8" t="str">
        <f t="shared" si="8"/>
        <v>Eligible</v>
      </c>
    </row>
    <row r="182" spans="1:11" x14ac:dyDescent="0.3">
      <c r="A182" s="5">
        <v>181</v>
      </c>
      <c r="B182" s="5" t="s">
        <v>232</v>
      </c>
      <c r="C182" s="5" t="s">
        <v>955</v>
      </c>
      <c r="D182" s="5" t="s">
        <v>780</v>
      </c>
      <c r="E182" s="6">
        <f t="shared" si="6"/>
        <v>2025</v>
      </c>
      <c r="F182" s="5" t="str">
        <f>INDEX('Data Mahasiswa'!$N$1:$Q$14, MATCH(MID('Data Status Pendaftar'!B182, 5,2), 'Data Mahasiswa'!$N$1:$N$14,0),2)</f>
        <v>Ilmu Sosial</v>
      </c>
      <c r="G182" s="5" t="str" cm="1">
        <f t="array" ref="G182">INDEX('Data Mahasiswa'!$Q$2:$Q$14, MATCH(MID('Data Status Pendaftar'!B182,5,3), 'Data Mahasiswa'!$N$2:$N$14&amp;TEXT('Data Mahasiswa'!$P$2:$P$14,"0"), 0))</f>
        <v>Administrasi Publik</v>
      </c>
      <c r="H182" s="6">
        <f t="shared" ca="1" si="7"/>
        <v>2</v>
      </c>
      <c r="I182" s="7">
        <f>INDEX('Data Mahasiswa'!$A$1:$J$701, MATCH('Data Status Pendaftar'!B182, 'Data Mahasiswa'!$A$1:$A$701, 0), 10)</f>
        <v>2.9583333333333335</v>
      </c>
      <c r="J182" s="5" t="str" cm="1">
        <f t="array" ref="J182">INDEX('Data Mahasiswa'!B182:I182,MATCH(MIN(VLOOKUP('Data Mahasiswa'!B182:I182,'Data Mahasiswa'!$N$27:$O$36,2,0)),VLOOKUP('Data Mahasiswa'!B182:I182,'Data Mahasiswa'!$N$27:$O$36,2,0),0))</f>
        <v>C</v>
      </c>
      <c r="K182" s="5" t="str">
        <f t="shared" si="8"/>
        <v>Eligible</v>
      </c>
    </row>
    <row r="183" spans="1:11" x14ac:dyDescent="0.3">
      <c r="A183" s="8">
        <v>182</v>
      </c>
      <c r="B183" s="8" t="s">
        <v>233</v>
      </c>
      <c r="C183" s="8" t="s">
        <v>956</v>
      </c>
      <c r="D183" s="8" t="s">
        <v>780</v>
      </c>
      <c r="E183" s="9">
        <f t="shared" si="6"/>
        <v>2025</v>
      </c>
      <c r="F183" s="8" t="str">
        <f>INDEX('Data Mahasiswa'!$N$1:$Q$14, MATCH(MID('Data Status Pendaftar'!B183, 5,2), 'Data Mahasiswa'!$N$1:$N$14,0),2)</f>
        <v>Ilmu Sosial</v>
      </c>
      <c r="G183" s="8" t="str" cm="1">
        <f t="array" ref="G183">INDEX('Data Mahasiswa'!$Q$2:$Q$14, MATCH(MID('Data Status Pendaftar'!B183,5,3), 'Data Mahasiswa'!$N$2:$N$14&amp;TEXT('Data Mahasiswa'!$P$2:$P$14,"0"), 0))</f>
        <v>Administrasi Publik</v>
      </c>
      <c r="H183" s="9">
        <f t="shared" ca="1" si="7"/>
        <v>2</v>
      </c>
      <c r="I183" s="10">
        <f>INDEX('Data Mahasiswa'!$A$1:$J$701, MATCH('Data Status Pendaftar'!B183, 'Data Mahasiswa'!$A$1:$A$701, 0), 10)</f>
        <v>2.625</v>
      </c>
      <c r="J183" s="8" t="str" cm="1">
        <f t="array" ref="J183">INDEX('Data Mahasiswa'!B183:I183,MATCH(MIN(VLOOKUP('Data Mahasiswa'!B183:I183,'Data Mahasiswa'!$N$27:$O$36,2,0)),VLOOKUP('Data Mahasiswa'!B183:I183,'Data Mahasiswa'!$N$27:$O$36,2,0),0))</f>
        <v>D</v>
      </c>
      <c r="K183" s="8" t="str">
        <f t="shared" si="8"/>
        <v>Tidak Eligible</v>
      </c>
    </row>
    <row r="184" spans="1:11" x14ac:dyDescent="0.3">
      <c r="A184" s="5">
        <v>183</v>
      </c>
      <c r="B184" s="5" t="s">
        <v>234</v>
      </c>
      <c r="C184" s="5" t="s">
        <v>957</v>
      </c>
      <c r="D184" s="5" t="s">
        <v>779</v>
      </c>
      <c r="E184" s="6">
        <f t="shared" si="6"/>
        <v>2025</v>
      </c>
      <c r="F184" s="5" t="str">
        <f>INDEX('Data Mahasiswa'!$N$1:$Q$14, MATCH(MID('Data Status Pendaftar'!B184, 5,2), 'Data Mahasiswa'!$N$1:$N$14,0),2)</f>
        <v>Ilmu Sosial</v>
      </c>
      <c r="G184" s="5" t="str" cm="1">
        <f t="array" ref="G184">INDEX('Data Mahasiswa'!$Q$2:$Q$14, MATCH(MID('Data Status Pendaftar'!B184,5,3), 'Data Mahasiswa'!$N$2:$N$14&amp;TEXT('Data Mahasiswa'!$P$2:$P$14,"0"), 0))</f>
        <v>Administrasi Publik</v>
      </c>
      <c r="H184" s="6">
        <f t="shared" ca="1" si="7"/>
        <v>2</v>
      </c>
      <c r="I184" s="7">
        <f>INDEX('Data Mahasiswa'!$A$1:$J$701, MATCH('Data Status Pendaftar'!B184, 'Data Mahasiswa'!$A$1:$A$701, 0), 10)</f>
        <v>3.5</v>
      </c>
      <c r="J184" s="5" t="str" cm="1">
        <f t="array" ref="J184">INDEX('Data Mahasiswa'!B184:I184,MATCH(MIN(VLOOKUP('Data Mahasiswa'!B184:I184,'Data Mahasiswa'!$N$27:$O$36,2,0)),VLOOKUP('Data Mahasiswa'!B184:I184,'Data Mahasiswa'!$N$27:$O$36,2,0),0))</f>
        <v>C+</v>
      </c>
      <c r="K184" s="5" t="str">
        <f t="shared" si="8"/>
        <v>Eligible</v>
      </c>
    </row>
    <row r="185" spans="1:11" x14ac:dyDescent="0.3">
      <c r="A185" s="8">
        <v>184</v>
      </c>
      <c r="B185" s="8" t="s">
        <v>235</v>
      </c>
      <c r="C185" s="8" t="s">
        <v>836</v>
      </c>
      <c r="D185" s="8" t="s">
        <v>779</v>
      </c>
      <c r="E185" s="9">
        <f t="shared" si="6"/>
        <v>2025</v>
      </c>
      <c r="F185" s="8" t="str">
        <f>INDEX('Data Mahasiswa'!$N$1:$Q$14, MATCH(MID('Data Status Pendaftar'!B185, 5,2), 'Data Mahasiswa'!$N$1:$N$14,0),2)</f>
        <v>Ilmu Sosial</v>
      </c>
      <c r="G185" s="8" t="str" cm="1">
        <f t="array" ref="G185">INDEX('Data Mahasiswa'!$Q$2:$Q$14, MATCH(MID('Data Status Pendaftar'!B185,5,3), 'Data Mahasiswa'!$N$2:$N$14&amp;TEXT('Data Mahasiswa'!$P$2:$P$14,"0"), 0))</f>
        <v>Administrasi Publik</v>
      </c>
      <c r="H185" s="9">
        <f t="shared" ca="1" si="7"/>
        <v>2</v>
      </c>
      <c r="I185" s="10">
        <f>INDEX('Data Mahasiswa'!$A$1:$J$701, MATCH('Data Status Pendaftar'!B185, 'Data Mahasiswa'!$A$1:$A$701, 0), 10)</f>
        <v>2.4479166666666665</v>
      </c>
      <c r="J185" s="8" t="str" cm="1">
        <f t="array" ref="J185">INDEX('Data Mahasiswa'!B185:I185,MATCH(MIN(VLOOKUP('Data Mahasiswa'!B185:I185,'Data Mahasiswa'!$N$27:$O$36,2,0)),VLOOKUP('Data Mahasiswa'!B185:I185,'Data Mahasiswa'!$N$27:$O$36,2,0),0))</f>
        <v>C</v>
      </c>
      <c r="K185" s="8" t="str">
        <f t="shared" si="8"/>
        <v>Tidak Eligible</v>
      </c>
    </row>
    <row r="186" spans="1:11" x14ac:dyDescent="0.3">
      <c r="A186" s="5">
        <v>185</v>
      </c>
      <c r="B186" s="5" t="s">
        <v>236</v>
      </c>
      <c r="C186" s="5" t="s">
        <v>958</v>
      </c>
      <c r="D186" s="5" t="s">
        <v>780</v>
      </c>
      <c r="E186" s="6">
        <f t="shared" si="6"/>
        <v>2025</v>
      </c>
      <c r="F186" s="5" t="str">
        <f>INDEX('Data Mahasiswa'!$N$1:$Q$14, MATCH(MID('Data Status Pendaftar'!B186, 5,2), 'Data Mahasiswa'!$N$1:$N$14,0),2)</f>
        <v>Ilmu Sosial</v>
      </c>
      <c r="G186" s="5" t="str" cm="1">
        <f t="array" ref="G186">INDEX('Data Mahasiswa'!$Q$2:$Q$14, MATCH(MID('Data Status Pendaftar'!B186,5,3), 'Data Mahasiswa'!$N$2:$N$14&amp;TEXT('Data Mahasiswa'!$P$2:$P$14,"0"), 0))</f>
        <v>Administrasi Publik</v>
      </c>
      <c r="H186" s="6">
        <f t="shared" ca="1" si="7"/>
        <v>2</v>
      </c>
      <c r="I186" s="7">
        <f>INDEX('Data Mahasiswa'!$A$1:$J$701, MATCH('Data Status Pendaftar'!B186, 'Data Mahasiswa'!$A$1:$A$701, 0), 10)</f>
        <v>2.7395833333333335</v>
      </c>
      <c r="J186" s="5" t="str" cm="1">
        <f t="array" ref="J186">INDEX('Data Mahasiswa'!B186:I186,MATCH(MIN(VLOOKUP('Data Mahasiswa'!B186:I186,'Data Mahasiswa'!$N$27:$O$36,2,0)),VLOOKUP('Data Mahasiswa'!B186:I186,'Data Mahasiswa'!$N$27:$O$36,2,0),0))</f>
        <v>C</v>
      </c>
      <c r="K186" s="5" t="str">
        <f t="shared" si="8"/>
        <v>Tidak Eligible</v>
      </c>
    </row>
    <row r="187" spans="1:11" x14ac:dyDescent="0.3">
      <c r="A187" s="8">
        <v>186</v>
      </c>
      <c r="B187" s="8" t="s">
        <v>237</v>
      </c>
      <c r="C187" s="8" t="s">
        <v>959</v>
      </c>
      <c r="D187" s="8" t="s">
        <v>780</v>
      </c>
      <c r="E187" s="9">
        <f t="shared" si="6"/>
        <v>2025</v>
      </c>
      <c r="F187" s="8" t="str">
        <f>INDEX('Data Mahasiswa'!$N$1:$Q$14, MATCH(MID('Data Status Pendaftar'!B187, 5,2), 'Data Mahasiswa'!$N$1:$N$14,0),2)</f>
        <v>Ilmu Sosial</v>
      </c>
      <c r="G187" s="8" t="str" cm="1">
        <f t="array" ref="G187">INDEX('Data Mahasiswa'!$Q$2:$Q$14, MATCH(MID('Data Status Pendaftar'!B187,5,3), 'Data Mahasiswa'!$N$2:$N$14&amp;TEXT('Data Mahasiswa'!$P$2:$P$14,"0"), 0))</f>
        <v>Administrasi Publik</v>
      </c>
      <c r="H187" s="9">
        <f t="shared" ca="1" si="7"/>
        <v>2</v>
      </c>
      <c r="I187" s="10">
        <f>INDEX('Data Mahasiswa'!$A$1:$J$701, MATCH('Data Status Pendaftar'!B187, 'Data Mahasiswa'!$A$1:$A$701, 0), 10)</f>
        <v>3.5625</v>
      </c>
      <c r="J187" s="8" t="str" cm="1">
        <f t="array" ref="J187">INDEX('Data Mahasiswa'!B187:I187,MATCH(MIN(VLOOKUP('Data Mahasiswa'!B187:I187,'Data Mahasiswa'!$N$27:$O$36,2,0)),VLOOKUP('Data Mahasiswa'!B187:I187,'Data Mahasiswa'!$N$27:$O$36,2,0),0))</f>
        <v>B</v>
      </c>
      <c r="K187" s="8" t="str">
        <f t="shared" si="8"/>
        <v>Eligible</v>
      </c>
    </row>
    <row r="188" spans="1:11" x14ac:dyDescent="0.3">
      <c r="A188" s="5">
        <v>187</v>
      </c>
      <c r="B188" s="5" t="s">
        <v>238</v>
      </c>
      <c r="C188" s="5" t="s">
        <v>960</v>
      </c>
      <c r="D188" s="5" t="s">
        <v>780</v>
      </c>
      <c r="E188" s="6">
        <f t="shared" si="6"/>
        <v>2025</v>
      </c>
      <c r="F188" s="5" t="str">
        <f>INDEX('Data Mahasiswa'!$N$1:$Q$14, MATCH(MID('Data Status Pendaftar'!B188, 5,2), 'Data Mahasiswa'!$N$1:$N$14,0),2)</f>
        <v>Ilmu Sosial</v>
      </c>
      <c r="G188" s="5" t="str" cm="1">
        <f t="array" ref="G188">INDEX('Data Mahasiswa'!$Q$2:$Q$14, MATCH(MID('Data Status Pendaftar'!B188,5,3), 'Data Mahasiswa'!$N$2:$N$14&amp;TEXT('Data Mahasiswa'!$P$2:$P$14,"0"), 0))</f>
        <v>Administrasi Publik</v>
      </c>
      <c r="H188" s="6">
        <f t="shared" ca="1" si="7"/>
        <v>2</v>
      </c>
      <c r="I188" s="7">
        <f>INDEX('Data Mahasiswa'!$A$1:$J$701, MATCH('Data Status Pendaftar'!B188, 'Data Mahasiswa'!$A$1:$A$701, 0), 10)</f>
        <v>2.9166666666666665</v>
      </c>
      <c r="J188" s="5" t="str" cm="1">
        <f t="array" ref="J188">INDEX('Data Mahasiswa'!B188:I188,MATCH(MIN(VLOOKUP('Data Mahasiswa'!B188:I188,'Data Mahasiswa'!$N$27:$O$36,2,0)),VLOOKUP('Data Mahasiswa'!B188:I188,'Data Mahasiswa'!$N$27:$O$36,2,0),0))</f>
        <v>C</v>
      </c>
      <c r="K188" s="5" t="str">
        <f t="shared" si="8"/>
        <v>Eligible</v>
      </c>
    </row>
    <row r="189" spans="1:11" x14ac:dyDescent="0.3">
      <c r="A189" s="8">
        <v>188</v>
      </c>
      <c r="B189" s="8" t="s">
        <v>239</v>
      </c>
      <c r="C189" s="8" t="s">
        <v>961</v>
      </c>
      <c r="D189" s="8" t="s">
        <v>780</v>
      </c>
      <c r="E189" s="9">
        <f t="shared" si="6"/>
        <v>2025</v>
      </c>
      <c r="F189" s="8" t="str">
        <f>INDEX('Data Mahasiswa'!$N$1:$Q$14, MATCH(MID('Data Status Pendaftar'!B189, 5,2), 'Data Mahasiswa'!$N$1:$N$14,0),2)</f>
        <v>Ilmu Sosial</v>
      </c>
      <c r="G189" s="8" t="str" cm="1">
        <f t="array" ref="G189">INDEX('Data Mahasiswa'!$Q$2:$Q$14, MATCH(MID('Data Status Pendaftar'!B189,5,3), 'Data Mahasiswa'!$N$2:$N$14&amp;TEXT('Data Mahasiswa'!$P$2:$P$14,"0"), 0))</f>
        <v>Administrasi Publik</v>
      </c>
      <c r="H189" s="9">
        <f t="shared" ca="1" si="7"/>
        <v>2</v>
      </c>
      <c r="I189" s="10">
        <f>INDEX('Data Mahasiswa'!$A$1:$J$701, MATCH('Data Status Pendaftar'!B189, 'Data Mahasiswa'!$A$1:$A$701, 0), 10)</f>
        <v>2.8229166666666665</v>
      </c>
      <c r="J189" s="8" t="str" cm="1">
        <f t="array" ref="J189">INDEX('Data Mahasiswa'!B189:I189,MATCH(MIN(VLOOKUP('Data Mahasiswa'!B189:I189,'Data Mahasiswa'!$N$27:$O$36,2,0)),VLOOKUP('Data Mahasiswa'!B189:I189,'Data Mahasiswa'!$N$27:$O$36,2,0),0))</f>
        <v>D</v>
      </c>
      <c r="K189" s="8" t="str">
        <f t="shared" si="8"/>
        <v>Tidak Eligible</v>
      </c>
    </row>
    <row r="190" spans="1:11" x14ac:dyDescent="0.3">
      <c r="A190" s="5">
        <v>189</v>
      </c>
      <c r="B190" s="5" t="s">
        <v>240</v>
      </c>
      <c r="C190" s="5" t="s">
        <v>962</v>
      </c>
      <c r="D190" s="5" t="s">
        <v>779</v>
      </c>
      <c r="E190" s="6">
        <f t="shared" si="6"/>
        <v>2025</v>
      </c>
      <c r="F190" s="5" t="str">
        <f>INDEX('Data Mahasiswa'!$N$1:$Q$14, MATCH(MID('Data Status Pendaftar'!B190, 5,2), 'Data Mahasiswa'!$N$1:$N$14,0),2)</f>
        <v>Ilmu Sosial</v>
      </c>
      <c r="G190" s="5" t="str" cm="1">
        <f t="array" ref="G190">INDEX('Data Mahasiswa'!$Q$2:$Q$14, MATCH(MID('Data Status Pendaftar'!B190,5,3), 'Data Mahasiswa'!$N$2:$N$14&amp;TEXT('Data Mahasiswa'!$P$2:$P$14,"0"), 0))</f>
        <v>Administrasi Publik</v>
      </c>
      <c r="H190" s="6">
        <f t="shared" ca="1" si="7"/>
        <v>2</v>
      </c>
      <c r="I190" s="7">
        <f>INDEX('Data Mahasiswa'!$A$1:$J$701, MATCH('Data Status Pendaftar'!B190, 'Data Mahasiswa'!$A$1:$A$701, 0), 10)</f>
        <v>2.6875</v>
      </c>
      <c r="J190" s="5" t="str" cm="1">
        <f t="array" ref="J190">INDEX('Data Mahasiswa'!B190:I190,MATCH(MIN(VLOOKUP('Data Mahasiswa'!B190:I190,'Data Mahasiswa'!$N$27:$O$36,2,0)),VLOOKUP('Data Mahasiswa'!B190:I190,'Data Mahasiswa'!$N$27:$O$36,2,0),0))</f>
        <v>E</v>
      </c>
      <c r="K190" s="5" t="str">
        <f t="shared" si="8"/>
        <v>Tidak Eligible</v>
      </c>
    </row>
    <row r="191" spans="1:11" x14ac:dyDescent="0.3">
      <c r="A191" s="8">
        <v>190</v>
      </c>
      <c r="B191" s="8" t="s">
        <v>241</v>
      </c>
      <c r="C191" s="8" t="s">
        <v>963</v>
      </c>
      <c r="D191" s="8" t="s">
        <v>780</v>
      </c>
      <c r="E191" s="9">
        <f t="shared" si="6"/>
        <v>2025</v>
      </c>
      <c r="F191" s="8" t="str">
        <f>INDEX('Data Mahasiswa'!$N$1:$Q$14, MATCH(MID('Data Status Pendaftar'!B191, 5,2), 'Data Mahasiswa'!$N$1:$N$14,0),2)</f>
        <v>Ilmu Sosial</v>
      </c>
      <c r="G191" s="8" t="str" cm="1">
        <f t="array" ref="G191">INDEX('Data Mahasiswa'!$Q$2:$Q$14, MATCH(MID('Data Status Pendaftar'!B191,5,3), 'Data Mahasiswa'!$N$2:$N$14&amp;TEXT('Data Mahasiswa'!$P$2:$P$14,"0"), 0))</f>
        <v>Administrasi Publik</v>
      </c>
      <c r="H191" s="9">
        <f t="shared" ca="1" si="7"/>
        <v>2</v>
      </c>
      <c r="I191" s="10">
        <f>INDEX('Data Mahasiswa'!$A$1:$J$701, MATCH('Data Status Pendaftar'!B191, 'Data Mahasiswa'!$A$1:$A$701, 0), 10)</f>
        <v>3</v>
      </c>
      <c r="J191" s="8" t="str" cm="1">
        <f t="array" ref="J191">INDEX('Data Mahasiswa'!B191:I191,MATCH(MIN(VLOOKUP('Data Mahasiswa'!B191:I191,'Data Mahasiswa'!$N$27:$O$36,2,0)),VLOOKUP('Data Mahasiswa'!B191:I191,'Data Mahasiswa'!$N$27:$O$36,2,0),0))</f>
        <v>C</v>
      </c>
      <c r="K191" s="8" t="str">
        <f t="shared" si="8"/>
        <v>Eligible</v>
      </c>
    </row>
    <row r="192" spans="1:11" x14ac:dyDescent="0.3">
      <c r="A192" s="5">
        <v>191</v>
      </c>
      <c r="B192" s="5" t="s">
        <v>242</v>
      </c>
      <c r="C192" s="5" t="s">
        <v>964</v>
      </c>
      <c r="D192" s="5" t="s">
        <v>779</v>
      </c>
      <c r="E192" s="6">
        <f t="shared" si="6"/>
        <v>2025</v>
      </c>
      <c r="F192" s="5" t="str">
        <f>INDEX('Data Mahasiswa'!$N$1:$Q$14, MATCH(MID('Data Status Pendaftar'!B192, 5,2), 'Data Mahasiswa'!$N$1:$N$14,0),2)</f>
        <v>Ilmu Sosial</v>
      </c>
      <c r="G192" s="5" t="str" cm="1">
        <f t="array" ref="G192">INDEX('Data Mahasiswa'!$Q$2:$Q$14, MATCH(MID('Data Status Pendaftar'!B192,5,3), 'Data Mahasiswa'!$N$2:$N$14&amp;TEXT('Data Mahasiswa'!$P$2:$P$14,"0"), 0))</f>
        <v>Administrasi Publik</v>
      </c>
      <c r="H192" s="6">
        <f t="shared" ca="1" si="7"/>
        <v>2</v>
      </c>
      <c r="I192" s="7">
        <f>INDEX('Data Mahasiswa'!$A$1:$J$701, MATCH('Data Status Pendaftar'!B192, 'Data Mahasiswa'!$A$1:$A$701, 0), 10)</f>
        <v>3.1458333333333335</v>
      </c>
      <c r="J192" s="5" t="str" cm="1">
        <f t="array" ref="J192">INDEX('Data Mahasiswa'!B192:I192,MATCH(MIN(VLOOKUP('Data Mahasiswa'!B192:I192,'Data Mahasiswa'!$N$27:$O$36,2,0)),VLOOKUP('Data Mahasiswa'!B192:I192,'Data Mahasiswa'!$N$27:$O$36,2,0),0))</f>
        <v>C+</v>
      </c>
      <c r="K192" s="5" t="str">
        <f t="shared" si="8"/>
        <v>Eligible</v>
      </c>
    </row>
    <row r="193" spans="1:11" x14ac:dyDescent="0.3">
      <c r="A193" s="8">
        <v>192</v>
      </c>
      <c r="B193" s="8" t="s">
        <v>243</v>
      </c>
      <c r="C193" s="8" t="s">
        <v>965</v>
      </c>
      <c r="D193" s="8" t="s">
        <v>779</v>
      </c>
      <c r="E193" s="9">
        <f t="shared" si="6"/>
        <v>2025</v>
      </c>
      <c r="F193" s="8" t="str">
        <f>INDEX('Data Mahasiswa'!$N$1:$Q$14, MATCH(MID('Data Status Pendaftar'!B193, 5,2), 'Data Mahasiswa'!$N$1:$N$14,0),2)</f>
        <v>Ilmu Sosial</v>
      </c>
      <c r="G193" s="8" t="str" cm="1">
        <f t="array" ref="G193">INDEX('Data Mahasiswa'!$Q$2:$Q$14, MATCH(MID('Data Status Pendaftar'!B193,5,3), 'Data Mahasiswa'!$N$2:$N$14&amp;TEXT('Data Mahasiswa'!$P$2:$P$14,"0"), 0))</f>
        <v>Administrasi Publik</v>
      </c>
      <c r="H193" s="9">
        <f t="shared" ca="1" si="7"/>
        <v>2</v>
      </c>
      <c r="I193" s="10">
        <f>INDEX('Data Mahasiswa'!$A$1:$J$701, MATCH('Data Status Pendaftar'!B193, 'Data Mahasiswa'!$A$1:$A$701, 0), 10)</f>
        <v>2.7291666666666665</v>
      </c>
      <c r="J193" s="8" t="str" cm="1">
        <f t="array" ref="J193">INDEX('Data Mahasiswa'!B193:I193,MATCH(MIN(VLOOKUP('Data Mahasiswa'!B193:I193,'Data Mahasiswa'!$N$27:$O$36,2,0)),VLOOKUP('Data Mahasiswa'!B193:I193,'Data Mahasiswa'!$N$27:$O$36,2,0),0))</f>
        <v>E</v>
      </c>
      <c r="K193" s="8" t="str">
        <f t="shared" si="8"/>
        <v>Tidak Eligible</v>
      </c>
    </row>
    <row r="194" spans="1:11" x14ac:dyDescent="0.3">
      <c r="A194" s="5">
        <v>193</v>
      </c>
      <c r="B194" s="5" t="s">
        <v>244</v>
      </c>
      <c r="C194" s="5" t="s">
        <v>966</v>
      </c>
      <c r="D194" s="5" t="s">
        <v>779</v>
      </c>
      <c r="E194" s="6">
        <f t="shared" si="6"/>
        <v>2025</v>
      </c>
      <c r="F194" s="5" t="str">
        <f>INDEX('Data Mahasiswa'!$N$1:$Q$14, MATCH(MID('Data Status Pendaftar'!B194, 5,2), 'Data Mahasiswa'!$N$1:$N$14,0),2)</f>
        <v>Ilmu Sosial</v>
      </c>
      <c r="G194" s="5" t="str" cm="1">
        <f t="array" ref="G194">INDEX('Data Mahasiswa'!$Q$2:$Q$14, MATCH(MID('Data Status Pendaftar'!B194,5,3), 'Data Mahasiswa'!$N$2:$N$14&amp;TEXT('Data Mahasiswa'!$P$2:$P$14,"0"), 0))</f>
        <v>Administrasi Publik</v>
      </c>
      <c r="H194" s="6">
        <f t="shared" ca="1" si="7"/>
        <v>2</v>
      </c>
      <c r="I194" s="7">
        <f>INDEX('Data Mahasiswa'!$A$1:$J$701, MATCH('Data Status Pendaftar'!B194, 'Data Mahasiswa'!$A$1:$A$701, 0), 10)</f>
        <v>3.25</v>
      </c>
      <c r="J194" s="5" t="str" cm="1">
        <f t="array" ref="J194">INDEX('Data Mahasiswa'!B194:I194,MATCH(MIN(VLOOKUP('Data Mahasiswa'!B194:I194,'Data Mahasiswa'!$N$27:$O$36,2,0)),VLOOKUP('Data Mahasiswa'!B194:I194,'Data Mahasiswa'!$N$27:$O$36,2,0),0))</f>
        <v>C+</v>
      </c>
      <c r="K194" s="5" t="str">
        <f t="shared" si="8"/>
        <v>Eligible</v>
      </c>
    </row>
    <row r="195" spans="1:11" x14ac:dyDescent="0.3">
      <c r="A195" s="8">
        <v>194</v>
      </c>
      <c r="B195" s="8" t="s">
        <v>245</v>
      </c>
      <c r="C195" s="8" t="s">
        <v>967</v>
      </c>
      <c r="D195" s="8" t="s">
        <v>780</v>
      </c>
      <c r="E195" s="9">
        <f t="shared" ref="E195:E258" si="9">LEFT(B195,2)+2000</f>
        <v>2025</v>
      </c>
      <c r="F195" s="8" t="str">
        <f>INDEX('Data Mahasiswa'!$N$1:$Q$14, MATCH(MID('Data Status Pendaftar'!B195, 5,2), 'Data Mahasiswa'!$N$1:$N$14,0),2)</f>
        <v>Ilmu Sosial</v>
      </c>
      <c r="G195" s="8" t="str" cm="1">
        <f t="array" ref="G195">INDEX('Data Mahasiswa'!$Q$2:$Q$14, MATCH(MID('Data Status Pendaftar'!B195,5,3), 'Data Mahasiswa'!$N$2:$N$14&amp;TEXT('Data Mahasiswa'!$P$2:$P$14,"0"), 0))</f>
        <v>Administrasi Publik</v>
      </c>
      <c r="H195" s="9">
        <f t="shared" ref="H195:H258" ca="1" si="10">(YEAR(TODAY())-E195)*2</f>
        <v>2</v>
      </c>
      <c r="I195" s="10">
        <f>INDEX('Data Mahasiswa'!$A$1:$J$701, MATCH('Data Status Pendaftar'!B195, 'Data Mahasiswa'!$A$1:$A$701, 0), 10)</f>
        <v>3</v>
      </c>
      <c r="J195" s="8" t="str" cm="1">
        <f t="array" ref="J195">INDEX('Data Mahasiswa'!B195:I195,MATCH(MIN(VLOOKUP('Data Mahasiswa'!B195:I195,'Data Mahasiswa'!$N$27:$O$36,2,0)),VLOOKUP('Data Mahasiswa'!B195:I195,'Data Mahasiswa'!$N$27:$O$36,2,0),0))</f>
        <v>C</v>
      </c>
      <c r="K195" s="8" t="str">
        <f t="shared" ref="K195:K258" si="11">IF(AND(E195=2025,I195&gt;=2.75,OR(J195="A",J195="A-",J195="B+",J195="B",J195="B-",J195="C+",J195="C",J195="C-")),"Eligible","Tidak Eligible")</f>
        <v>Eligible</v>
      </c>
    </row>
    <row r="196" spans="1:11" x14ac:dyDescent="0.3">
      <c r="A196" s="5">
        <v>195</v>
      </c>
      <c r="B196" s="5" t="s">
        <v>246</v>
      </c>
      <c r="C196" s="5" t="s">
        <v>968</v>
      </c>
      <c r="D196" s="5" t="s">
        <v>779</v>
      </c>
      <c r="E196" s="6">
        <f t="shared" si="9"/>
        <v>2025</v>
      </c>
      <c r="F196" s="5" t="str">
        <f>INDEX('Data Mahasiswa'!$N$1:$Q$14, MATCH(MID('Data Status Pendaftar'!B196, 5,2), 'Data Mahasiswa'!$N$1:$N$14,0),2)</f>
        <v>Ilmu Sosial</v>
      </c>
      <c r="G196" s="5" t="str" cm="1">
        <f t="array" ref="G196">INDEX('Data Mahasiswa'!$Q$2:$Q$14, MATCH(MID('Data Status Pendaftar'!B196,5,3), 'Data Mahasiswa'!$N$2:$N$14&amp;TEXT('Data Mahasiswa'!$P$2:$P$14,"0"), 0))</f>
        <v>Administrasi Publik</v>
      </c>
      <c r="H196" s="6">
        <f t="shared" ca="1" si="10"/>
        <v>2</v>
      </c>
      <c r="I196" s="7">
        <f>INDEX('Data Mahasiswa'!$A$1:$J$701, MATCH('Data Status Pendaftar'!B196, 'Data Mahasiswa'!$A$1:$A$701, 0), 10)</f>
        <v>2.7604166666666665</v>
      </c>
      <c r="J196" s="5" t="str" cm="1">
        <f t="array" ref="J196">INDEX('Data Mahasiswa'!B196:I196,MATCH(MIN(VLOOKUP('Data Mahasiswa'!B196:I196,'Data Mahasiswa'!$N$27:$O$36,2,0)),VLOOKUP('Data Mahasiswa'!B196:I196,'Data Mahasiswa'!$N$27:$O$36,2,0),0))</f>
        <v>C</v>
      </c>
      <c r="K196" s="5" t="str">
        <f t="shared" si="11"/>
        <v>Eligible</v>
      </c>
    </row>
    <row r="197" spans="1:11" x14ac:dyDescent="0.3">
      <c r="A197" s="8">
        <v>196</v>
      </c>
      <c r="B197" s="8" t="s">
        <v>247</v>
      </c>
      <c r="C197" s="8" t="s">
        <v>969</v>
      </c>
      <c r="D197" s="8" t="s">
        <v>779</v>
      </c>
      <c r="E197" s="9">
        <f t="shared" si="9"/>
        <v>2025</v>
      </c>
      <c r="F197" s="8" t="str">
        <f>INDEX('Data Mahasiswa'!$N$1:$Q$14, MATCH(MID('Data Status Pendaftar'!B197, 5,2), 'Data Mahasiswa'!$N$1:$N$14,0),2)</f>
        <v>Ilmu Sosial</v>
      </c>
      <c r="G197" s="8" t="str" cm="1">
        <f t="array" ref="G197">INDEX('Data Mahasiswa'!$Q$2:$Q$14, MATCH(MID('Data Status Pendaftar'!B197,5,3), 'Data Mahasiswa'!$N$2:$N$14&amp;TEXT('Data Mahasiswa'!$P$2:$P$14,"0"), 0))</f>
        <v>Administrasi Publik</v>
      </c>
      <c r="H197" s="9">
        <f t="shared" ca="1" si="10"/>
        <v>2</v>
      </c>
      <c r="I197" s="10">
        <f>INDEX('Data Mahasiswa'!$A$1:$J$701, MATCH('Data Status Pendaftar'!B197, 'Data Mahasiswa'!$A$1:$A$701, 0), 10)</f>
        <v>3.3645833333333335</v>
      </c>
      <c r="J197" s="8" t="str" cm="1">
        <f t="array" ref="J197">INDEX('Data Mahasiswa'!B197:I197,MATCH(MIN(VLOOKUP('Data Mahasiswa'!B197:I197,'Data Mahasiswa'!$N$27:$O$36,2,0)),VLOOKUP('Data Mahasiswa'!B197:I197,'Data Mahasiswa'!$N$27:$O$36,2,0),0))</f>
        <v>C+</v>
      </c>
      <c r="K197" s="8" t="str">
        <f t="shared" si="11"/>
        <v>Eligible</v>
      </c>
    </row>
    <row r="198" spans="1:11" x14ac:dyDescent="0.3">
      <c r="A198" s="5">
        <v>197</v>
      </c>
      <c r="B198" s="5" t="s">
        <v>248</v>
      </c>
      <c r="C198" s="5" t="s">
        <v>970</v>
      </c>
      <c r="D198" s="5" t="s">
        <v>779</v>
      </c>
      <c r="E198" s="6">
        <f t="shared" si="9"/>
        <v>2025</v>
      </c>
      <c r="F198" s="5" t="str">
        <f>INDEX('Data Mahasiswa'!$N$1:$Q$14, MATCH(MID('Data Status Pendaftar'!B198, 5,2), 'Data Mahasiswa'!$N$1:$N$14,0),2)</f>
        <v>Ilmu Sosial</v>
      </c>
      <c r="G198" s="5" t="str" cm="1">
        <f t="array" ref="G198">INDEX('Data Mahasiswa'!$Q$2:$Q$14, MATCH(MID('Data Status Pendaftar'!B198,5,3), 'Data Mahasiswa'!$N$2:$N$14&amp;TEXT('Data Mahasiswa'!$P$2:$P$14,"0"), 0))</f>
        <v>Administrasi Publik</v>
      </c>
      <c r="H198" s="6">
        <f t="shared" ca="1" si="10"/>
        <v>2</v>
      </c>
      <c r="I198" s="7">
        <f>INDEX('Data Mahasiswa'!$A$1:$J$701, MATCH('Data Status Pendaftar'!B198, 'Data Mahasiswa'!$A$1:$A$701, 0), 10)</f>
        <v>2.8333333333333335</v>
      </c>
      <c r="J198" s="5" t="str" cm="1">
        <f t="array" ref="J198">INDEX('Data Mahasiswa'!B198:I198,MATCH(MIN(VLOOKUP('Data Mahasiswa'!B198:I198,'Data Mahasiswa'!$N$27:$O$36,2,0)),VLOOKUP('Data Mahasiswa'!B198:I198,'Data Mahasiswa'!$N$27:$O$36,2,0),0))</f>
        <v>C</v>
      </c>
      <c r="K198" s="5" t="str">
        <f t="shared" si="11"/>
        <v>Eligible</v>
      </c>
    </row>
    <row r="199" spans="1:11" x14ac:dyDescent="0.3">
      <c r="A199" s="8">
        <v>198</v>
      </c>
      <c r="B199" s="8" t="s">
        <v>249</v>
      </c>
      <c r="C199" s="8" t="s">
        <v>971</v>
      </c>
      <c r="D199" s="8" t="s">
        <v>780</v>
      </c>
      <c r="E199" s="9">
        <f t="shared" si="9"/>
        <v>2025</v>
      </c>
      <c r="F199" s="8" t="str">
        <f>INDEX('Data Mahasiswa'!$N$1:$Q$14, MATCH(MID('Data Status Pendaftar'!B199, 5,2), 'Data Mahasiswa'!$N$1:$N$14,0),2)</f>
        <v>Ilmu Sosial</v>
      </c>
      <c r="G199" s="8" t="str" cm="1">
        <f t="array" ref="G199">INDEX('Data Mahasiswa'!$Q$2:$Q$14, MATCH(MID('Data Status Pendaftar'!B199,5,3), 'Data Mahasiswa'!$N$2:$N$14&amp;TEXT('Data Mahasiswa'!$P$2:$P$14,"0"), 0))</f>
        <v>Administrasi Publik</v>
      </c>
      <c r="H199" s="9">
        <f t="shared" ca="1" si="10"/>
        <v>2</v>
      </c>
      <c r="I199" s="10">
        <f>INDEX('Data Mahasiswa'!$A$1:$J$701, MATCH('Data Status Pendaftar'!B199, 'Data Mahasiswa'!$A$1:$A$701, 0), 10)</f>
        <v>3.2083333333333335</v>
      </c>
      <c r="J199" s="8" t="str" cm="1">
        <f t="array" ref="J199">INDEX('Data Mahasiswa'!B199:I199,MATCH(MIN(VLOOKUP('Data Mahasiswa'!B199:I199,'Data Mahasiswa'!$N$27:$O$36,2,0)),VLOOKUP('Data Mahasiswa'!B199:I199,'Data Mahasiswa'!$N$27:$O$36,2,0),0))</f>
        <v>D</v>
      </c>
      <c r="K199" s="8" t="str">
        <f t="shared" si="11"/>
        <v>Tidak Eligible</v>
      </c>
    </row>
    <row r="200" spans="1:11" x14ac:dyDescent="0.3">
      <c r="A200" s="5">
        <v>199</v>
      </c>
      <c r="B200" s="5" t="s">
        <v>250</v>
      </c>
      <c r="C200" s="5" t="s">
        <v>972</v>
      </c>
      <c r="D200" s="5" t="s">
        <v>780</v>
      </c>
      <c r="E200" s="6">
        <f t="shared" si="9"/>
        <v>2025</v>
      </c>
      <c r="F200" s="5" t="str">
        <f>INDEX('Data Mahasiswa'!$N$1:$Q$14, MATCH(MID('Data Status Pendaftar'!B200, 5,2), 'Data Mahasiswa'!$N$1:$N$14,0),2)</f>
        <v>Ilmu Sosial</v>
      </c>
      <c r="G200" s="5" t="str" cm="1">
        <f t="array" ref="G200">INDEX('Data Mahasiswa'!$Q$2:$Q$14, MATCH(MID('Data Status Pendaftar'!B200,5,3), 'Data Mahasiswa'!$N$2:$N$14&amp;TEXT('Data Mahasiswa'!$P$2:$P$14,"0"), 0))</f>
        <v>Administrasi Publik</v>
      </c>
      <c r="H200" s="6">
        <f t="shared" ca="1" si="10"/>
        <v>2</v>
      </c>
      <c r="I200" s="7">
        <f>INDEX('Data Mahasiswa'!$A$1:$J$701, MATCH('Data Status Pendaftar'!B200, 'Data Mahasiswa'!$A$1:$A$701, 0), 10)</f>
        <v>3.4583333333333335</v>
      </c>
      <c r="J200" s="5" t="str" cm="1">
        <f t="array" ref="J200">INDEX('Data Mahasiswa'!B200:I200,MATCH(MIN(VLOOKUP('Data Mahasiswa'!B200:I200,'Data Mahasiswa'!$N$27:$O$36,2,0)),VLOOKUP('Data Mahasiswa'!B200:I200,'Data Mahasiswa'!$N$27:$O$36,2,0),0))</f>
        <v>C</v>
      </c>
      <c r="K200" s="5" t="str">
        <f t="shared" si="11"/>
        <v>Eligible</v>
      </c>
    </row>
    <row r="201" spans="1:11" x14ac:dyDescent="0.3">
      <c r="A201" s="8">
        <v>200</v>
      </c>
      <c r="B201" s="8" t="s">
        <v>251</v>
      </c>
      <c r="C201" s="8" t="s">
        <v>973</v>
      </c>
      <c r="D201" s="8" t="s">
        <v>780</v>
      </c>
      <c r="E201" s="9">
        <f t="shared" si="9"/>
        <v>2025</v>
      </c>
      <c r="F201" s="8" t="str">
        <f>INDEX('Data Mahasiswa'!$N$1:$Q$14, MATCH(MID('Data Status Pendaftar'!B201, 5,2), 'Data Mahasiswa'!$N$1:$N$14,0),2)</f>
        <v>Ilmu Sosial</v>
      </c>
      <c r="G201" s="8" t="str" cm="1">
        <f t="array" ref="G201">INDEX('Data Mahasiswa'!$Q$2:$Q$14, MATCH(MID('Data Status Pendaftar'!B201,5,3), 'Data Mahasiswa'!$N$2:$N$14&amp;TEXT('Data Mahasiswa'!$P$2:$P$14,"0"), 0))</f>
        <v>Administrasi Publik</v>
      </c>
      <c r="H201" s="9">
        <f t="shared" ca="1" si="10"/>
        <v>2</v>
      </c>
      <c r="I201" s="10">
        <f>INDEX('Data Mahasiswa'!$A$1:$J$701, MATCH('Data Status Pendaftar'!B201, 'Data Mahasiswa'!$A$1:$A$701, 0), 10)</f>
        <v>2.6354166666666665</v>
      </c>
      <c r="J201" s="8" t="str" cm="1">
        <f t="array" ref="J201">INDEX('Data Mahasiswa'!B201:I201,MATCH(MIN(VLOOKUP('Data Mahasiswa'!B201:I201,'Data Mahasiswa'!$N$27:$O$36,2,0)),VLOOKUP('Data Mahasiswa'!B201:I201,'Data Mahasiswa'!$N$27:$O$36,2,0),0))</f>
        <v>E</v>
      </c>
      <c r="K201" s="8" t="str">
        <f t="shared" si="11"/>
        <v>Tidak Eligible</v>
      </c>
    </row>
    <row r="202" spans="1:11" x14ac:dyDescent="0.3">
      <c r="A202" s="5">
        <v>201</v>
      </c>
      <c r="B202" s="5" t="s">
        <v>252</v>
      </c>
      <c r="C202" s="5" t="s">
        <v>974</v>
      </c>
      <c r="D202" s="5" t="s">
        <v>779</v>
      </c>
      <c r="E202" s="6">
        <f t="shared" si="9"/>
        <v>2025</v>
      </c>
      <c r="F202" s="5" t="str">
        <f>INDEX('Data Mahasiswa'!$N$1:$Q$14, MATCH(MID('Data Status Pendaftar'!B202, 5,2), 'Data Mahasiswa'!$N$1:$N$14,0),2)</f>
        <v>Ilmu Sosial</v>
      </c>
      <c r="G202" s="5" t="str" cm="1">
        <f t="array" ref="G202">INDEX('Data Mahasiswa'!$Q$2:$Q$14, MATCH(MID('Data Status Pendaftar'!B202,5,3), 'Data Mahasiswa'!$N$2:$N$14&amp;TEXT('Data Mahasiswa'!$P$2:$P$14,"0"), 0))</f>
        <v>Administrasi Publik</v>
      </c>
      <c r="H202" s="6">
        <f t="shared" ca="1" si="10"/>
        <v>2</v>
      </c>
      <c r="I202" s="7">
        <f>INDEX('Data Mahasiswa'!$A$1:$J$701, MATCH('Data Status Pendaftar'!B202, 'Data Mahasiswa'!$A$1:$A$701, 0), 10)</f>
        <v>3.21875</v>
      </c>
      <c r="J202" s="5" t="str" cm="1">
        <f t="array" ref="J202">INDEX('Data Mahasiswa'!B202:I202,MATCH(MIN(VLOOKUP('Data Mahasiswa'!B202:I202,'Data Mahasiswa'!$N$27:$O$36,2,0)),VLOOKUP('Data Mahasiswa'!B202:I202,'Data Mahasiswa'!$N$27:$O$36,2,0),0))</f>
        <v>D</v>
      </c>
      <c r="K202" s="5" t="str">
        <f t="shared" si="11"/>
        <v>Tidak Eligible</v>
      </c>
    </row>
    <row r="203" spans="1:11" x14ac:dyDescent="0.3">
      <c r="A203" s="8">
        <v>202</v>
      </c>
      <c r="B203" s="8" t="s">
        <v>253</v>
      </c>
      <c r="C203" s="8" t="s">
        <v>975</v>
      </c>
      <c r="D203" s="8" t="s">
        <v>779</v>
      </c>
      <c r="E203" s="9">
        <f t="shared" si="9"/>
        <v>2025</v>
      </c>
      <c r="F203" s="8" t="str">
        <f>INDEX('Data Mahasiswa'!$N$1:$Q$14, MATCH(MID('Data Status Pendaftar'!B203, 5,2), 'Data Mahasiswa'!$N$1:$N$14,0),2)</f>
        <v>Ilmu Sosial</v>
      </c>
      <c r="G203" s="8" t="str" cm="1">
        <f t="array" ref="G203">INDEX('Data Mahasiswa'!$Q$2:$Q$14, MATCH(MID('Data Status Pendaftar'!B203,5,3), 'Data Mahasiswa'!$N$2:$N$14&amp;TEXT('Data Mahasiswa'!$P$2:$P$14,"0"), 0))</f>
        <v>Administrasi Publik</v>
      </c>
      <c r="H203" s="9">
        <f t="shared" ca="1" si="10"/>
        <v>2</v>
      </c>
      <c r="I203" s="10">
        <f>INDEX('Data Mahasiswa'!$A$1:$J$701, MATCH('Data Status Pendaftar'!B203, 'Data Mahasiswa'!$A$1:$A$701, 0), 10)</f>
        <v>3.4895833333333335</v>
      </c>
      <c r="J203" s="8" t="str" cm="1">
        <f t="array" ref="J203">INDEX('Data Mahasiswa'!B203:I203,MATCH(MIN(VLOOKUP('Data Mahasiswa'!B203:I203,'Data Mahasiswa'!$N$27:$O$36,2,0)),VLOOKUP('Data Mahasiswa'!B203:I203,'Data Mahasiswa'!$N$27:$O$36,2,0),0))</f>
        <v>C+</v>
      </c>
      <c r="K203" s="8" t="str">
        <f t="shared" si="11"/>
        <v>Eligible</v>
      </c>
    </row>
    <row r="204" spans="1:11" x14ac:dyDescent="0.3">
      <c r="A204" s="5">
        <v>203</v>
      </c>
      <c r="B204" s="5" t="s">
        <v>254</v>
      </c>
      <c r="C204" s="5" t="s">
        <v>797</v>
      </c>
      <c r="D204" s="5" t="s">
        <v>779</v>
      </c>
      <c r="E204" s="6">
        <f t="shared" si="9"/>
        <v>2025</v>
      </c>
      <c r="F204" s="5" t="str">
        <f>INDEX('Data Mahasiswa'!$N$1:$Q$14, MATCH(MID('Data Status Pendaftar'!B204, 5,2), 'Data Mahasiswa'!$N$1:$N$14,0),2)</f>
        <v>Ilmu Sosial</v>
      </c>
      <c r="G204" s="5" t="str" cm="1">
        <f t="array" ref="G204">INDEX('Data Mahasiswa'!$Q$2:$Q$14, MATCH(MID('Data Status Pendaftar'!B204,5,3), 'Data Mahasiswa'!$N$2:$N$14&amp;TEXT('Data Mahasiswa'!$P$2:$P$14,"0"), 0))</f>
        <v>Administrasi Publik</v>
      </c>
      <c r="H204" s="6">
        <f t="shared" ca="1" si="10"/>
        <v>2</v>
      </c>
      <c r="I204" s="7">
        <f>INDEX('Data Mahasiswa'!$A$1:$J$701, MATCH('Data Status Pendaftar'!B204, 'Data Mahasiswa'!$A$1:$A$701, 0), 10)</f>
        <v>2.5416666666666665</v>
      </c>
      <c r="J204" s="5" t="str" cm="1">
        <f t="array" ref="J204">INDEX('Data Mahasiswa'!B204:I204,MATCH(MIN(VLOOKUP('Data Mahasiswa'!B204:I204,'Data Mahasiswa'!$N$27:$O$36,2,0)),VLOOKUP('Data Mahasiswa'!B204:I204,'Data Mahasiswa'!$N$27:$O$36,2,0),0))</f>
        <v>D</v>
      </c>
      <c r="K204" s="5" t="str">
        <f t="shared" si="11"/>
        <v>Tidak Eligible</v>
      </c>
    </row>
    <row r="205" spans="1:11" x14ac:dyDescent="0.3">
      <c r="A205" s="8">
        <v>204</v>
      </c>
      <c r="B205" s="8" t="s">
        <v>255</v>
      </c>
      <c r="C205" s="8" t="s">
        <v>976</v>
      </c>
      <c r="D205" s="8" t="s">
        <v>779</v>
      </c>
      <c r="E205" s="9">
        <f t="shared" si="9"/>
        <v>2025</v>
      </c>
      <c r="F205" s="8" t="str">
        <f>INDEX('Data Mahasiswa'!$N$1:$Q$14, MATCH(MID('Data Status Pendaftar'!B205, 5,2), 'Data Mahasiswa'!$N$1:$N$14,0),2)</f>
        <v>Ilmu Sosial</v>
      </c>
      <c r="G205" s="8" t="str" cm="1">
        <f t="array" ref="G205">INDEX('Data Mahasiswa'!$Q$2:$Q$14, MATCH(MID('Data Status Pendaftar'!B205,5,3), 'Data Mahasiswa'!$N$2:$N$14&amp;TEXT('Data Mahasiswa'!$P$2:$P$14,"0"), 0))</f>
        <v xml:space="preserve"> Ilmu Komunikasi</v>
      </c>
      <c r="H205" s="9">
        <f t="shared" ca="1" si="10"/>
        <v>2</v>
      </c>
      <c r="I205" s="10">
        <f>INDEX('Data Mahasiswa'!$A$1:$J$701, MATCH('Data Status Pendaftar'!B205, 'Data Mahasiswa'!$A$1:$A$701, 0), 10)</f>
        <v>3.0625</v>
      </c>
      <c r="J205" s="8" t="str" cm="1">
        <f t="array" ref="J205">INDEX('Data Mahasiswa'!B205:I205,MATCH(MIN(VLOOKUP('Data Mahasiswa'!B205:I205,'Data Mahasiswa'!$N$27:$O$36,2,0)),VLOOKUP('Data Mahasiswa'!B205:I205,'Data Mahasiswa'!$N$27:$O$36,2,0),0))</f>
        <v>D</v>
      </c>
      <c r="K205" s="8" t="str">
        <f t="shared" si="11"/>
        <v>Tidak Eligible</v>
      </c>
    </row>
    <row r="206" spans="1:11" x14ac:dyDescent="0.3">
      <c r="A206" s="5">
        <v>205</v>
      </c>
      <c r="B206" s="5" t="s">
        <v>256</v>
      </c>
      <c r="C206" s="5" t="s">
        <v>977</v>
      </c>
      <c r="D206" s="5" t="s">
        <v>780</v>
      </c>
      <c r="E206" s="6">
        <f t="shared" si="9"/>
        <v>2025</v>
      </c>
      <c r="F206" s="5" t="str">
        <f>INDEX('Data Mahasiswa'!$N$1:$Q$14, MATCH(MID('Data Status Pendaftar'!B206, 5,2), 'Data Mahasiswa'!$N$1:$N$14,0),2)</f>
        <v>Ilmu Sosial</v>
      </c>
      <c r="G206" s="5" t="str" cm="1">
        <f t="array" ref="G206">INDEX('Data Mahasiswa'!$Q$2:$Q$14, MATCH(MID('Data Status Pendaftar'!B206,5,3), 'Data Mahasiswa'!$N$2:$N$14&amp;TEXT('Data Mahasiswa'!$P$2:$P$14,"0"), 0))</f>
        <v xml:space="preserve"> Ilmu Komunikasi</v>
      </c>
      <c r="H206" s="6">
        <f t="shared" ca="1" si="10"/>
        <v>2</v>
      </c>
      <c r="I206" s="7">
        <f>INDEX('Data Mahasiswa'!$A$1:$J$701, MATCH('Data Status Pendaftar'!B206, 'Data Mahasiswa'!$A$1:$A$701, 0), 10)</f>
        <v>3.125</v>
      </c>
      <c r="J206" s="5" t="str" cm="1">
        <f t="array" ref="J206">INDEX('Data Mahasiswa'!B206:I206,MATCH(MIN(VLOOKUP('Data Mahasiswa'!B206:I206,'Data Mahasiswa'!$N$27:$O$36,2,0)),VLOOKUP('Data Mahasiswa'!B206:I206,'Data Mahasiswa'!$N$27:$O$36,2,0),0))</f>
        <v>C</v>
      </c>
      <c r="K206" s="5" t="str">
        <f t="shared" si="11"/>
        <v>Eligible</v>
      </c>
    </row>
    <row r="207" spans="1:11" x14ac:dyDescent="0.3">
      <c r="A207" s="8">
        <v>206</v>
      </c>
      <c r="B207" s="8" t="s">
        <v>257</v>
      </c>
      <c r="C207" s="8" t="s">
        <v>978</v>
      </c>
      <c r="D207" s="8" t="s">
        <v>779</v>
      </c>
      <c r="E207" s="9">
        <f t="shared" si="9"/>
        <v>2025</v>
      </c>
      <c r="F207" s="8" t="str">
        <f>INDEX('Data Mahasiswa'!$N$1:$Q$14, MATCH(MID('Data Status Pendaftar'!B207, 5,2), 'Data Mahasiswa'!$N$1:$N$14,0),2)</f>
        <v>Ilmu Sosial</v>
      </c>
      <c r="G207" s="8" t="str" cm="1">
        <f t="array" ref="G207">INDEX('Data Mahasiswa'!$Q$2:$Q$14, MATCH(MID('Data Status Pendaftar'!B207,5,3), 'Data Mahasiswa'!$N$2:$N$14&amp;TEXT('Data Mahasiswa'!$P$2:$P$14,"0"), 0))</f>
        <v xml:space="preserve"> Ilmu Komunikasi</v>
      </c>
      <c r="H207" s="9">
        <f t="shared" ca="1" si="10"/>
        <v>2</v>
      </c>
      <c r="I207" s="10">
        <f>INDEX('Data Mahasiswa'!$A$1:$J$701, MATCH('Data Status Pendaftar'!B207, 'Data Mahasiswa'!$A$1:$A$701, 0), 10)</f>
        <v>3.1666666666666665</v>
      </c>
      <c r="J207" s="8" t="str" cm="1">
        <f t="array" ref="J207">INDEX('Data Mahasiswa'!B207:I207,MATCH(MIN(VLOOKUP('Data Mahasiswa'!B207:I207,'Data Mahasiswa'!$N$27:$O$36,2,0)),VLOOKUP('Data Mahasiswa'!B207:I207,'Data Mahasiswa'!$N$27:$O$36,2,0),0))</f>
        <v>C+</v>
      </c>
      <c r="K207" s="8" t="str">
        <f t="shared" si="11"/>
        <v>Eligible</v>
      </c>
    </row>
    <row r="208" spans="1:11" x14ac:dyDescent="0.3">
      <c r="A208" s="5">
        <v>207</v>
      </c>
      <c r="B208" s="5" t="s">
        <v>258</v>
      </c>
      <c r="C208" s="5" t="s">
        <v>979</v>
      </c>
      <c r="D208" s="5" t="s">
        <v>779</v>
      </c>
      <c r="E208" s="6">
        <f t="shared" si="9"/>
        <v>2025</v>
      </c>
      <c r="F208" s="5" t="str">
        <f>INDEX('Data Mahasiswa'!$N$1:$Q$14, MATCH(MID('Data Status Pendaftar'!B208, 5,2), 'Data Mahasiswa'!$N$1:$N$14,0),2)</f>
        <v>Ilmu Sosial</v>
      </c>
      <c r="G208" s="5" t="str" cm="1">
        <f t="array" ref="G208">INDEX('Data Mahasiswa'!$Q$2:$Q$14, MATCH(MID('Data Status Pendaftar'!B208,5,3), 'Data Mahasiswa'!$N$2:$N$14&amp;TEXT('Data Mahasiswa'!$P$2:$P$14,"0"), 0))</f>
        <v xml:space="preserve"> Ilmu Komunikasi</v>
      </c>
      <c r="H208" s="6">
        <f t="shared" ca="1" si="10"/>
        <v>2</v>
      </c>
      <c r="I208" s="7">
        <f>INDEX('Data Mahasiswa'!$A$1:$J$701, MATCH('Data Status Pendaftar'!B208, 'Data Mahasiswa'!$A$1:$A$701, 0), 10)</f>
        <v>2.4583333333333335</v>
      </c>
      <c r="J208" s="5" t="str" cm="1">
        <f t="array" ref="J208">INDEX('Data Mahasiswa'!B208:I208,MATCH(MIN(VLOOKUP('Data Mahasiswa'!B208:I208,'Data Mahasiswa'!$N$27:$O$36,2,0)),VLOOKUP('Data Mahasiswa'!B208:I208,'Data Mahasiswa'!$N$27:$O$36,2,0),0))</f>
        <v>E</v>
      </c>
      <c r="K208" s="5" t="str">
        <f t="shared" si="11"/>
        <v>Tidak Eligible</v>
      </c>
    </row>
    <row r="209" spans="1:11" x14ac:dyDescent="0.3">
      <c r="A209" s="8">
        <v>208</v>
      </c>
      <c r="B209" s="8" t="s">
        <v>259</v>
      </c>
      <c r="C209" s="8" t="s">
        <v>980</v>
      </c>
      <c r="D209" s="8" t="s">
        <v>780</v>
      </c>
      <c r="E209" s="9">
        <f t="shared" si="9"/>
        <v>2025</v>
      </c>
      <c r="F209" s="8" t="str">
        <f>INDEX('Data Mahasiswa'!$N$1:$Q$14, MATCH(MID('Data Status Pendaftar'!B209, 5,2), 'Data Mahasiswa'!$N$1:$N$14,0),2)</f>
        <v>Ilmu Sosial</v>
      </c>
      <c r="G209" s="8" t="str" cm="1">
        <f t="array" ref="G209">INDEX('Data Mahasiswa'!$Q$2:$Q$14, MATCH(MID('Data Status Pendaftar'!B209,5,3), 'Data Mahasiswa'!$N$2:$N$14&amp;TEXT('Data Mahasiswa'!$P$2:$P$14,"0"), 0))</f>
        <v xml:space="preserve"> Ilmu Komunikasi</v>
      </c>
      <c r="H209" s="9">
        <f t="shared" ca="1" si="10"/>
        <v>2</v>
      </c>
      <c r="I209" s="10">
        <f>INDEX('Data Mahasiswa'!$A$1:$J$701, MATCH('Data Status Pendaftar'!B209, 'Data Mahasiswa'!$A$1:$A$701, 0), 10)</f>
        <v>2.7083333333333335</v>
      </c>
      <c r="J209" s="8" t="str" cm="1">
        <f t="array" ref="J209">INDEX('Data Mahasiswa'!B209:I209,MATCH(MIN(VLOOKUP('Data Mahasiswa'!B209:I209,'Data Mahasiswa'!$N$27:$O$36,2,0)),VLOOKUP('Data Mahasiswa'!B209:I209,'Data Mahasiswa'!$N$27:$O$36,2,0),0))</f>
        <v>E</v>
      </c>
      <c r="K209" s="8" t="str">
        <f t="shared" si="11"/>
        <v>Tidak Eligible</v>
      </c>
    </row>
    <row r="210" spans="1:11" x14ac:dyDescent="0.3">
      <c r="A210" s="5">
        <v>209</v>
      </c>
      <c r="B210" s="5" t="s">
        <v>260</v>
      </c>
      <c r="C210" s="5" t="s">
        <v>981</v>
      </c>
      <c r="D210" s="5" t="s">
        <v>780</v>
      </c>
      <c r="E210" s="6">
        <f t="shared" si="9"/>
        <v>2025</v>
      </c>
      <c r="F210" s="5" t="str">
        <f>INDEX('Data Mahasiswa'!$N$1:$Q$14, MATCH(MID('Data Status Pendaftar'!B210, 5,2), 'Data Mahasiswa'!$N$1:$N$14,0),2)</f>
        <v>Ilmu Sosial</v>
      </c>
      <c r="G210" s="5" t="str" cm="1">
        <f t="array" ref="G210">INDEX('Data Mahasiswa'!$Q$2:$Q$14, MATCH(MID('Data Status Pendaftar'!B210,5,3), 'Data Mahasiswa'!$N$2:$N$14&amp;TEXT('Data Mahasiswa'!$P$2:$P$14,"0"), 0))</f>
        <v xml:space="preserve"> Ilmu Komunikasi</v>
      </c>
      <c r="H210" s="6">
        <f t="shared" ca="1" si="10"/>
        <v>2</v>
      </c>
      <c r="I210" s="7">
        <f>INDEX('Data Mahasiswa'!$A$1:$J$701, MATCH('Data Status Pendaftar'!B210, 'Data Mahasiswa'!$A$1:$A$701, 0), 10)</f>
        <v>2.90625</v>
      </c>
      <c r="J210" s="5" t="str" cm="1">
        <f t="array" ref="J210">INDEX('Data Mahasiswa'!B210:I210,MATCH(MIN(VLOOKUP('Data Mahasiswa'!B210:I210,'Data Mahasiswa'!$N$27:$O$36,2,0)),VLOOKUP('Data Mahasiswa'!B210:I210,'Data Mahasiswa'!$N$27:$O$36,2,0),0))</f>
        <v>C</v>
      </c>
      <c r="K210" s="5" t="str">
        <f t="shared" si="11"/>
        <v>Eligible</v>
      </c>
    </row>
    <row r="211" spans="1:11" x14ac:dyDescent="0.3">
      <c r="A211" s="8">
        <v>210</v>
      </c>
      <c r="B211" s="8" t="s">
        <v>261</v>
      </c>
      <c r="C211" s="8" t="s">
        <v>982</v>
      </c>
      <c r="D211" s="8" t="s">
        <v>779</v>
      </c>
      <c r="E211" s="9">
        <f t="shared" si="9"/>
        <v>2025</v>
      </c>
      <c r="F211" s="8" t="str">
        <f>INDEX('Data Mahasiswa'!$N$1:$Q$14, MATCH(MID('Data Status Pendaftar'!B211, 5,2), 'Data Mahasiswa'!$N$1:$N$14,0),2)</f>
        <v>Ilmu Sosial</v>
      </c>
      <c r="G211" s="8" t="str" cm="1">
        <f t="array" ref="G211">INDEX('Data Mahasiswa'!$Q$2:$Q$14, MATCH(MID('Data Status Pendaftar'!B211,5,3), 'Data Mahasiswa'!$N$2:$N$14&amp;TEXT('Data Mahasiswa'!$P$2:$P$14,"0"), 0))</f>
        <v xml:space="preserve"> Ilmu Komunikasi</v>
      </c>
      <c r="H211" s="9">
        <f t="shared" ca="1" si="10"/>
        <v>2</v>
      </c>
      <c r="I211" s="10">
        <f>INDEX('Data Mahasiswa'!$A$1:$J$701, MATCH('Data Status Pendaftar'!B211, 'Data Mahasiswa'!$A$1:$A$701, 0), 10)</f>
        <v>3.25</v>
      </c>
      <c r="J211" s="8" t="str" cm="1">
        <f t="array" ref="J211">INDEX('Data Mahasiswa'!B211:I211,MATCH(MIN(VLOOKUP('Data Mahasiswa'!B211:I211,'Data Mahasiswa'!$N$27:$O$36,2,0)),VLOOKUP('Data Mahasiswa'!B211:I211,'Data Mahasiswa'!$N$27:$O$36,2,0),0))</f>
        <v>C</v>
      </c>
      <c r="K211" s="8" t="str">
        <f t="shared" si="11"/>
        <v>Eligible</v>
      </c>
    </row>
    <row r="212" spans="1:11" x14ac:dyDescent="0.3">
      <c r="A212" s="5">
        <v>211</v>
      </c>
      <c r="B212" s="5" t="s">
        <v>262</v>
      </c>
      <c r="C212" s="5" t="s">
        <v>983</v>
      </c>
      <c r="D212" s="5" t="s">
        <v>780</v>
      </c>
      <c r="E212" s="6">
        <f t="shared" si="9"/>
        <v>2025</v>
      </c>
      <c r="F212" s="5" t="str">
        <f>INDEX('Data Mahasiswa'!$N$1:$Q$14, MATCH(MID('Data Status Pendaftar'!B212, 5,2), 'Data Mahasiswa'!$N$1:$N$14,0),2)</f>
        <v>Ilmu Sosial</v>
      </c>
      <c r="G212" s="5" t="str" cm="1">
        <f t="array" ref="G212">INDEX('Data Mahasiswa'!$Q$2:$Q$14, MATCH(MID('Data Status Pendaftar'!B212,5,3), 'Data Mahasiswa'!$N$2:$N$14&amp;TEXT('Data Mahasiswa'!$P$2:$P$14,"0"), 0))</f>
        <v xml:space="preserve"> Ilmu Komunikasi</v>
      </c>
      <c r="H212" s="6">
        <f t="shared" ca="1" si="10"/>
        <v>2</v>
      </c>
      <c r="I212" s="7">
        <f>INDEX('Data Mahasiswa'!$A$1:$J$701, MATCH('Data Status Pendaftar'!B212, 'Data Mahasiswa'!$A$1:$A$701, 0), 10)</f>
        <v>2.5208333333333335</v>
      </c>
      <c r="J212" s="5" t="str" cm="1">
        <f t="array" ref="J212">INDEX('Data Mahasiswa'!B212:I212,MATCH(MIN(VLOOKUP('Data Mahasiswa'!B212:I212,'Data Mahasiswa'!$N$27:$O$36,2,0)),VLOOKUP('Data Mahasiswa'!B212:I212,'Data Mahasiswa'!$N$27:$O$36,2,0),0))</f>
        <v>C</v>
      </c>
      <c r="K212" s="5" t="str">
        <f t="shared" si="11"/>
        <v>Tidak Eligible</v>
      </c>
    </row>
    <row r="213" spans="1:11" x14ac:dyDescent="0.3">
      <c r="A213" s="8">
        <v>212</v>
      </c>
      <c r="B213" s="8" t="s">
        <v>263</v>
      </c>
      <c r="C213" s="8" t="s">
        <v>984</v>
      </c>
      <c r="D213" s="8" t="s">
        <v>779</v>
      </c>
      <c r="E213" s="9">
        <f t="shared" si="9"/>
        <v>2025</v>
      </c>
      <c r="F213" s="8" t="str">
        <f>INDEX('Data Mahasiswa'!$N$1:$Q$14, MATCH(MID('Data Status Pendaftar'!B213, 5,2), 'Data Mahasiswa'!$N$1:$N$14,0),2)</f>
        <v>Ilmu Sosial</v>
      </c>
      <c r="G213" s="8" t="str" cm="1">
        <f t="array" ref="G213">INDEX('Data Mahasiswa'!$Q$2:$Q$14, MATCH(MID('Data Status Pendaftar'!B213,5,3), 'Data Mahasiswa'!$N$2:$N$14&amp;TEXT('Data Mahasiswa'!$P$2:$P$14,"0"), 0))</f>
        <v xml:space="preserve"> Ilmu Komunikasi</v>
      </c>
      <c r="H213" s="9">
        <f t="shared" ca="1" si="10"/>
        <v>2</v>
      </c>
      <c r="I213" s="10">
        <f>INDEX('Data Mahasiswa'!$A$1:$J$701, MATCH('Data Status Pendaftar'!B213, 'Data Mahasiswa'!$A$1:$A$701, 0), 10)</f>
        <v>3.0833333333333335</v>
      </c>
      <c r="J213" s="8" t="str" cm="1">
        <f t="array" ref="J213">INDEX('Data Mahasiswa'!B213:I213,MATCH(MIN(VLOOKUP('Data Mahasiswa'!B213:I213,'Data Mahasiswa'!$N$27:$O$36,2,0)),VLOOKUP('Data Mahasiswa'!B213:I213,'Data Mahasiswa'!$N$27:$O$36,2,0),0))</f>
        <v>D</v>
      </c>
      <c r="K213" s="8" t="str">
        <f t="shared" si="11"/>
        <v>Tidak Eligible</v>
      </c>
    </row>
    <row r="214" spans="1:11" x14ac:dyDescent="0.3">
      <c r="A214" s="5">
        <v>213</v>
      </c>
      <c r="B214" s="5" t="s">
        <v>264</v>
      </c>
      <c r="C214" s="5" t="s">
        <v>985</v>
      </c>
      <c r="D214" s="5" t="s">
        <v>779</v>
      </c>
      <c r="E214" s="6">
        <f t="shared" si="9"/>
        <v>2025</v>
      </c>
      <c r="F214" s="5" t="str">
        <f>INDEX('Data Mahasiswa'!$N$1:$Q$14, MATCH(MID('Data Status Pendaftar'!B214, 5,2), 'Data Mahasiswa'!$N$1:$N$14,0),2)</f>
        <v>Ilmu Sosial</v>
      </c>
      <c r="G214" s="5" t="str" cm="1">
        <f t="array" ref="G214">INDEX('Data Mahasiswa'!$Q$2:$Q$14, MATCH(MID('Data Status Pendaftar'!B214,5,3), 'Data Mahasiswa'!$N$2:$N$14&amp;TEXT('Data Mahasiswa'!$P$2:$P$14,"0"), 0))</f>
        <v xml:space="preserve"> Ilmu Komunikasi</v>
      </c>
      <c r="H214" s="6">
        <f t="shared" ca="1" si="10"/>
        <v>2</v>
      </c>
      <c r="I214" s="7">
        <f>INDEX('Data Mahasiswa'!$A$1:$J$701, MATCH('Data Status Pendaftar'!B214, 'Data Mahasiswa'!$A$1:$A$701, 0), 10)</f>
        <v>3.0104166666666665</v>
      </c>
      <c r="J214" s="5" t="str" cm="1">
        <f t="array" ref="J214">INDEX('Data Mahasiswa'!B214:I214,MATCH(MIN(VLOOKUP('Data Mahasiswa'!B214:I214,'Data Mahasiswa'!$N$27:$O$36,2,0)),VLOOKUP('Data Mahasiswa'!B214:I214,'Data Mahasiswa'!$N$27:$O$36,2,0),0))</f>
        <v>C+</v>
      </c>
      <c r="K214" s="5" t="str">
        <f t="shared" si="11"/>
        <v>Eligible</v>
      </c>
    </row>
    <row r="215" spans="1:11" x14ac:dyDescent="0.3">
      <c r="A215" s="8">
        <v>214</v>
      </c>
      <c r="B215" s="8" t="s">
        <v>265</v>
      </c>
      <c r="C215" s="8" t="s">
        <v>986</v>
      </c>
      <c r="D215" s="8" t="s">
        <v>779</v>
      </c>
      <c r="E215" s="9">
        <f t="shared" si="9"/>
        <v>2025</v>
      </c>
      <c r="F215" s="8" t="str">
        <f>INDEX('Data Mahasiswa'!$N$1:$Q$14, MATCH(MID('Data Status Pendaftar'!B215, 5,2), 'Data Mahasiswa'!$N$1:$N$14,0),2)</f>
        <v>Ilmu Sosial</v>
      </c>
      <c r="G215" s="8" t="str" cm="1">
        <f t="array" ref="G215">INDEX('Data Mahasiswa'!$Q$2:$Q$14, MATCH(MID('Data Status Pendaftar'!B215,5,3), 'Data Mahasiswa'!$N$2:$N$14&amp;TEXT('Data Mahasiswa'!$P$2:$P$14,"0"), 0))</f>
        <v xml:space="preserve"> Ilmu Komunikasi</v>
      </c>
      <c r="H215" s="9">
        <f t="shared" ca="1" si="10"/>
        <v>2</v>
      </c>
      <c r="I215" s="10">
        <f>INDEX('Data Mahasiswa'!$A$1:$J$701, MATCH('Data Status Pendaftar'!B215, 'Data Mahasiswa'!$A$1:$A$701, 0), 10)</f>
        <v>2.9270833333333335</v>
      </c>
      <c r="J215" s="8" t="str" cm="1">
        <f t="array" ref="J215">INDEX('Data Mahasiswa'!B215:I215,MATCH(MIN(VLOOKUP('Data Mahasiswa'!B215:I215,'Data Mahasiswa'!$N$27:$O$36,2,0)),VLOOKUP('Data Mahasiswa'!B215:I215,'Data Mahasiswa'!$N$27:$O$36,2,0),0))</f>
        <v>C</v>
      </c>
      <c r="K215" s="8" t="str">
        <f t="shared" si="11"/>
        <v>Eligible</v>
      </c>
    </row>
    <row r="216" spans="1:11" x14ac:dyDescent="0.3">
      <c r="A216" s="5">
        <v>215</v>
      </c>
      <c r="B216" s="5" t="s">
        <v>266</v>
      </c>
      <c r="C216" s="5" t="s">
        <v>761</v>
      </c>
      <c r="D216" s="5" t="s">
        <v>780</v>
      </c>
      <c r="E216" s="6">
        <f t="shared" si="9"/>
        <v>2025</v>
      </c>
      <c r="F216" s="5" t="str">
        <f>INDEX('Data Mahasiswa'!$N$1:$Q$14, MATCH(MID('Data Status Pendaftar'!B216, 5,2), 'Data Mahasiswa'!$N$1:$N$14,0),2)</f>
        <v>Ilmu Sosial</v>
      </c>
      <c r="G216" s="5" t="str" cm="1">
        <f t="array" ref="G216">INDEX('Data Mahasiswa'!$Q$2:$Q$14, MATCH(MID('Data Status Pendaftar'!B216,5,3), 'Data Mahasiswa'!$N$2:$N$14&amp;TEXT('Data Mahasiswa'!$P$2:$P$14,"0"), 0))</f>
        <v xml:space="preserve"> Ilmu Komunikasi</v>
      </c>
      <c r="H216" s="6">
        <f t="shared" ca="1" si="10"/>
        <v>2</v>
      </c>
      <c r="I216" s="7">
        <f>INDEX('Data Mahasiswa'!$A$1:$J$701, MATCH('Data Status Pendaftar'!B216, 'Data Mahasiswa'!$A$1:$A$701, 0), 10)</f>
        <v>3.2604166666666665</v>
      </c>
      <c r="J216" s="5" t="str" cm="1">
        <f t="array" ref="J216">INDEX('Data Mahasiswa'!B216:I216,MATCH(MIN(VLOOKUP('Data Mahasiswa'!B216:I216,'Data Mahasiswa'!$N$27:$O$36,2,0)),VLOOKUP('Data Mahasiswa'!B216:I216,'Data Mahasiswa'!$N$27:$O$36,2,0),0))</f>
        <v>B-</v>
      </c>
      <c r="K216" s="5" t="str">
        <f t="shared" si="11"/>
        <v>Eligible</v>
      </c>
    </row>
    <row r="217" spans="1:11" x14ac:dyDescent="0.3">
      <c r="A217" s="8">
        <v>216</v>
      </c>
      <c r="B217" s="8" t="s">
        <v>267</v>
      </c>
      <c r="C217" s="8" t="s">
        <v>987</v>
      </c>
      <c r="D217" s="8" t="s">
        <v>780</v>
      </c>
      <c r="E217" s="9">
        <f t="shared" si="9"/>
        <v>2025</v>
      </c>
      <c r="F217" s="8" t="str">
        <f>INDEX('Data Mahasiswa'!$N$1:$Q$14, MATCH(MID('Data Status Pendaftar'!B217, 5,2), 'Data Mahasiswa'!$N$1:$N$14,0),2)</f>
        <v>Ilmu Sosial</v>
      </c>
      <c r="G217" s="8" t="str" cm="1">
        <f t="array" ref="G217">INDEX('Data Mahasiswa'!$Q$2:$Q$14, MATCH(MID('Data Status Pendaftar'!B217,5,3), 'Data Mahasiswa'!$N$2:$N$14&amp;TEXT('Data Mahasiswa'!$P$2:$P$14,"0"), 0))</f>
        <v>Sosiologi</v>
      </c>
      <c r="H217" s="9">
        <f t="shared" ca="1" si="10"/>
        <v>2</v>
      </c>
      <c r="I217" s="10">
        <f>INDEX('Data Mahasiswa'!$A$1:$J$701, MATCH('Data Status Pendaftar'!B217, 'Data Mahasiswa'!$A$1:$A$701, 0), 10)</f>
        <v>3.1666666666666665</v>
      </c>
      <c r="J217" s="8" t="str" cm="1">
        <f t="array" ref="J217">INDEX('Data Mahasiswa'!B217:I217,MATCH(MIN(VLOOKUP('Data Mahasiswa'!B217:I217,'Data Mahasiswa'!$N$27:$O$36,2,0)),VLOOKUP('Data Mahasiswa'!B217:I217,'Data Mahasiswa'!$N$27:$O$36,2,0),0))</f>
        <v>E</v>
      </c>
      <c r="K217" s="8" t="str">
        <f t="shared" si="11"/>
        <v>Tidak Eligible</v>
      </c>
    </row>
    <row r="218" spans="1:11" x14ac:dyDescent="0.3">
      <c r="A218" s="5">
        <v>217</v>
      </c>
      <c r="B218" s="5" t="s">
        <v>268</v>
      </c>
      <c r="C218" s="5" t="s">
        <v>988</v>
      </c>
      <c r="D218" s="5" t="s">
        <v>780</v>
      </c>
      <c r="E218" s="6">
        <f t="shared" si="9"/>
        <v>2025</v>
      </c>
      <c r="F218" s="5" t="str">
        <f>INDEX('Data Mahasiswa'!$N$1:$Q$14, MATCH(MID('Data Status Pendaftar'!B218, 5,2), 'Data Mahasiswa'!$N$1:$N$14,0),2)</f>
        <v>Ilmu Sosial</v>
      </c>
      <c r="G218" s="5" t="str" cm="1">
        <f t="array" ref="G218">INDEX('Data Mahasiswa'!$Q$2:$Q$14, MATCH(MID('Data Status Pendaftar'!B218,5,3), 'Data Mahasiswa'!$N$2:$N$14&amp;TEXT('Data Mahasiswa'!$P$2:$P$14,"0"), 0))</f>
        <v>Sosiologi</v>
      </c>
      <c r="H218" s="6">
        <f t="shared" ca="1" si="10"/>
        <v>2</v>
      </c>
      <c r="I218" s="7">
        <f>INDEX('Data Mahasiswa'!$A$1:$J$701, MATCH('Data Status Pendaftar'!B218, 'Data Mahasiswa'!$A$1:$A$701, 0), 10)</f>
        <v>2.8125</v>
      </c>
      <c r="J218" s="5" t="str" cm="1">
        <f t="array" ref="J218">INDEX('Data Mahasiswa'!B218:I218,MATCH(MIN(VLOOKUP('Data Mahasiswa'!B218:I218,'Data Mahasiswa'!$N$27:$O$36,2,0)),VLOOKUP('Data Mahasiswa'!B218:I218,'Data Mahasiswa'!$N$27:$O$36,2,0),0))</f>
        <v>E</v>
      </c>
      <c r="K218" s="5" t="str">
        <f t="shared" si="11"/>
        <v>Tidak Eligible</v>
      </c>
    </row>
    <row r="219" spans="1:11" x14ac:dyDescent="0.3">
      <c r="A219" s="8">
        <v>218</v>
      </c>
      <c r="B219" s="8" t="s">
        <v>269</v>
      </c>
      <c r="C219" s="8" t="s">
        <v>989</v>
      </c>
      <c r="D219" s="8" t="s">
        <v>780</v>
      </c>
      <c r="E219" s="9">
        <f t="shared" si="9"/>
        <v>2025</v>
      </c>
      <c r="F219" s="8" t="str">
        <f>INDEX('Data Mahasiswa'!$N$1:$Q$14, MATCH(MID('Data Status Pendaftar'!B219, 5,2), 'Data Mahasiswa'!$N$1:$N$14,0),2)</f>
        <v>Ilmu Sosial</v>
      </c>
      <c r="G219" s="8" t="str" cm="1">
        <f t="array" ref="G219">INDEX('Data Mahasiswa'!$Q$2:$Q$14, MATCH(MID('Data Status Pendaftar'!B219,5,3), 'Data Mahasiswa'!$N$2:$N$14&amp;TEXT('Data Mahasiswa'!$P$2:$P$14,"0"), 0))</f>
        <v>Sosiologi</v>
      </c>
      <c r="H219" s="9">
        <f t="shared" ca="1" si="10"/>
        <v>2</v>
      </c>
      <c r="I219" s="10">
        <f>INDEX('Data Mahasiswa'!$A$1:$J$701, MATCH('Data Status Pendaftar'!B219, 'Data Mahasiswa'!$A$1:$A$701, 0), 10)</f>
        <v>2.59375</v>
      </c>
      <c r="J219" s="8" t="str" cm="1">
        <f t="array" ref="J219">INDEX('Data Mahasiswa'!B219:I219,MATCH(MIN(VLOOKUP('Data Mahasiswa'!B219:I219,'Data Mahasiswa'!$N$27:$O$36,2,0)),VLOOKUP('Data Mahasiswa'!B219:I219,'Data Mahasiswa'!$N$27:$O$36,2,0),0))</f>
        <v>D</v>
      </c>
      <c r="K219" s="8" t="str">
        <f t="shared" si="11"/>
        <v>Tidak Eligible</v>
      </c>
    </row>
    <row r="220" spans="1:11" x14ac:dyDescent="0.3">
      <c r="A220" s="5">
        <v>219</v>
      </c>
      <c r="B220" s="5" t="s">
        <v>270</v>
      </c>
      <c r="C220" s="5" t="s">
        <v>990</v>
      </c>
      <c r="D220" s="5" t="s">
        <v>780</v>
      </c>
      <c r="E220" s="6">
        <f t="shared" si="9"/>
        <v>2025</v>
      </c>
      <c r="F220" s="5" t="str">
        <f>INDEX('Data Mahasiswa'!$N$1:$Q$14, MATCH(MID('Data Status Pendaftar'!B220, 5,2), 'Data Mahasiswa'!$N$1:$N$14,0),2)</f>
        <v>Ilmu Sosial</v>
      </c>
      <c r="G220" s="5" t="str" cm="1">
        <f t="array" ref="G220">INDEX('Data Mahasiswa'!$Q$2:$Q$14, MATCH(MID('Data Status Pendaftar'!B220,5,3), 'Data Mahasiswa'!$N$2:$N$14&amp;TEXT('Data Mahasiswa'!$P$2:$P$14,"0"), 0))</f>
        <v>Sosiologi</v>
      </c>
      <c r="H220" s="6">
        <f t="shared" ca="1" si="10"/>
        <v>2</v>
      </c>
      <c r="I220" s="7">
        <f>INDEX('Data Mahasiswa'!$A$1:$J$701, MATCH('Data Status Pendaftar'!B220, 'Data Mahasiswa'!$A$1:$A$701, 0), 10)</f>
        <v>3.1875</v>
      </c>
      <c r="J220" s="5" t="str" cm="1">
        <f t="array" ref="J220">INDEX('Data Mahasiswa'!B220:I220,MATCH(MIN(VLOOKUP('Data Mahasiswa'!B220:I220,'Data Mahasiswa'!$N$27:$O$36,2,0)),VLOOKUP('Data Mahasiswa'!B220:I220,'Data Mahasiswa'!$N$27:$O$36,2,0),0))</f>
        <v>D</v>
      </c>
      <c r="K220" s="5" t="str">
        <f t="shared" si="11"/>
        <v>Tidak Eligible</v>
      </c>
    </row>
    <row r="221" spans="1:11" x14ac:dyDescent="0.3">
      <c r="A221" s="8">
        <v>220</v>
      </c>
      <c r="B221" s="8" t="s">
        <v>271</v>
      </c>
      <c r="C221" s="8" t="s">
        <v>991</v>
      </c>
      <c r="D221" s="8" t="s">
        <v>779</v>
      </c>
      <c r="E221" s="9">
        <f t="shared" si="9"/>
        <v>2025</v>
      </c>
      <c r="F221" s="8" t="str">
        <f>INDEX('Data Mahasiswa'!$N$1:$Q$14, MATCH(MID('Data Status Pendaftar'!B221, 5,2), 'Data Mahasiswa'!$N$1:$N$14,0),2)</f>
        <v>Ilmu Sosial</v>
      </c>
      <c r="G221" s="8" t="str" cm="1">
        <f t="array" ref="G221">INDEX('Data Mahasiswa'!$Q$2:$Q$14, MATCH(MID('Data Status Pendaftar'!B221,5,3), 'Data Mahasiswa'!$N$2:$N$14&amp;TEXT('Data Mahasiswa'!$P$2:$P$14,"0"), 0))</f>
        <v>Sosiologi</v>
      </c>
      <c r="H221" s="9">
        <f t="shared" ca="1" si="10"/>
        <v>2</v>
      </c>
      <c r="I221" s="10">
        <f>INDEX('Data Mahasiswa'!$A$1:$J$701, MATCH('Data Status Pendaftar'!B221, 'Data Mahasiswa'!$A$1:$A$701, 0), 10)</f>
        <v>2.6666666666666665</v>
      </c>
      <c r="J221" s="8" t="str" cm="1">
        <f t="array" ref="J221">INDEX('Data Mahasiswa'!B221:I221,MATCH(MIN(VLOOKUP('Data Mahasiswa'!B221:I221,'Data Mahasiswa'!$N$27:$O$36,2,0)),VLOOKUP('Data Mahasiswa'!B221:I221,'Data Mahasiswa'!$N$27:$O$36,2,0),0))</f>
        <v>D</v>
      </c>
      <c r="K221" s="8" t="str">
        <f t="shared" si="11"/>
        <v>Tidak Eligible</v>
      </c>
    </row>
    <row r="222" spans="1:11" x14ac:dyDescent="0.3">
      <c r="A222" s="5">
        <v>221</v>
      </c>
      <c r="B222" s="5" t="s">
        <v>272</v>
      </c>
      <c r="C222" s="5" t="s">
        <v>854</v>
      </c>
      <c r="D222" s="5" t="s">
        <v>779</v>
      </c>
      <c r="E222" s="6">
        <f t="shared" si="9"/>
        <v>2025</v>
      </c>
      <c r="F222" s="5" t="str">
        <f>INDEX('Data Mahasiswa'!$N$1:$Q$14, MATCH(MID('Data Status Pendaftar'!B222, 5,2), 'Data Mahasiswa'!$N$1:$N$14,0),2)</f>
        <v>Ilmu Sosial</v>
      </c>
      <c r="G222" s="5" t="str" cm="1">
        <f t="array" ref="G222">INDEX('Data Mahasiswa'!$Q$2:$Q$14, MATCH(MID('Data Status Pendaftar'!B222,5,3), 'Data Mahasiswa'!$N$2:$N$14&amp;TEXT('Data Mahasiswa'!$P$2:$P$14,"0"), 0))</f>
        <v>Sosiologi</v>
      </c>
      <c r="H222" s="6">
        <f t="shared" ca="1" si="10"/>
        <v>2</v>
      </c>
      <c r="I222" s="7">
        <f>INDEX('Data Mahasiswa'!$A$1:$J$701, MATCH('Data Status Pendaftar'!B222, 'Data Mahasiswa'!$A$1:$A$701, 0), 10)</f>
        <v>2.7604166666666665</v>
      </c>
      <c r="J222" s="5" t="str" cm="1">
        <f t="array" ref="J222">INDEX('Data Mahasiswa'!B222:I222,MATCH(MIN(VLOOKUP('Data Mahasiswa'!B222:I222,'Data Mahasiswa'!$N$27:$O$36,2,0)),VLOOKUP('Data Mahasiswa'!B222:I222,'Data Mahasiswa'!$N$27:$O$36,2,0),0))</f>
        <v>D</v>
      </c>
      <c r="K222" s="5" t="str">
        <f t="shared" si="11"/>
        <v>Tidak Eligible</v>
      </c>
    </row>
    <row r="223" spans="1:11" x14ac:dyDescent="0.3">
      <c r="A223" s="8">
        <v>222</v>
      </c>
      <c r="B223" s="8" t="s">
        <v>273</v>
      </c>
      <c r="C223" s="8" t="s">
        <v>992</v>
      </c>
      <c r="D223" s="8" t="s">
        <v>780</v>
      </c>
      <c r="E223" s="9">
        <f t="shared" si="9"/>
        <v>2025</v>
      </c>
      <c r="F223" s="8" t="str">
        <f>INDEX('Data Mahasiswa'!$N$1:$Q$14, MATCH(MID('Data Status Pendaftar'!B223, 5,2), 'Data Mahasiswa'!$N$1:$N$14,0),2)</f>
        <v>Ilmu Sosial</v>
      </c>
      <c r="G223" s="8" t="str" cm="1">
        <f t="array" ref="G223">INDEX('Data Mahasiswa'!$Q$2:$Q$14, MATCH(MID('Data Status Pendaftar'!B223,5,3), 'Data Mahasiswa'!$N$2:$N$14&amp;TEXT('Data Mahasiswa'!$P$2:$P$14,"0"), 0))</f>
        <v>Sosiologi</v>
      </c>
      <c r="H223" s="9">
        <f t="shared" ca="1" si="10"/>
        <v>2</v>
      </c>
      <c r="I223" s="10">
        <f>INDEX('Data Mahasiswa'!$A$1:$J$701, MATCH('Data Status Pendaftar'!B223, 'Data Mahasiswa'!$A$1:$A$701, 0), 10)</f>
        <v>2.9895833333333335</v>
      </c>
      <c r="J223" s="8" t="str" cm="1">
        <f t="array" ref="J223">INDEX('Data Mahasiswa'!B223:I223,MATCH(MIN(VLOOKUP('Data Mahasiswa'!B223:I223,'Data Mahasiswa'!$N$27:$O$36,2,0)),VLOOKUP('Data Mahasiswa'!B223:I223,'Data Mahasiswa'!$N$27:$O$36,2,0),0))</f>
        <v>E</v>
      </c>
      <c r="K223" s="8" t="str">
        <f t="shared" si="11"/>
        <v>Tidak Eligible</v>
      </c>
    </row>
    <row r="224" spans="1:11" x14ac:dyDescent="0.3">
      <c r="A224" s="5">
        <v>223</v>
      </c>
      <c r="B224" s="5" t="s">
        <v>274</v>
      </c>
      <c r="C224" s="5" t="s">
        <v>993</v>
      </c>
      <c r="D224" s="5" t="s">
        <v>780</v>
      </c>
      <c r="E224" s="6">
        <f t="shared" si="9"/>
        <v>2025</v>
      </c>
      <c r="F224" s="5" t="str">
        <f>INDEX('Data Mahasiswa'!$N$1:$Q$14, MATCH(MID('Data Status Pendaftar'!B224, 5,2), 'Data Mahasiswa'!$N$1:$N$14,0),2)</f>
        <v>Ilmu Sosial</v>
      </c>
      <c r="G224" s="5" t="str" cm="1">
        <f t="array" ref="G224">INDEX('Data Mahasiswa'!$Q$2:$Q$14, MATCH(MID('Data Status Pendaftar'!B224,5,3), 'Data Mahasiswa'!$N$2:$N$14&amp;TEXT('Data Mahasiswa'!$P$2:$P$14,"0"), 0))</f>
        <v>Sosiologi</v>
      </c>
      <c r="H224" s="6">
        <f t="shared" ca="1" si="10"/>
        <v>2</v>
      </c>
      <c r="I224" s="7">
        <f>INDEX('Data Mahasiswa'!$A$1:$J$701, MATCH('Data Status Pendaftar'!B224, 'Data Mahasiswa'!$A$1:$A$701, 0), 10)</f>
        <v>2.15625</v>
      </c>
      <c r="J224" s="5" t="str" cm="1">
        <f t="array" ref="J224">INDEX('Data Mahasiswa'!B224:I224,MATCH(MIN(VLOOKUP('Data Mahasiswa'!B224:I224,'Data Mahasiswa'!$N$27:$O$36,2,0)),VLOOKUP('Data Mahasiswa'!B224:I224,'Data Mahasiswa'!$N$27:$O$36,2,0),0))</f>
        <v>E</v>
      </c>
      <c r="K224" s="5" t="str">
        <f t="shared" si="11"/>
        <v>Tidak Eligible</v>
      </c>
    </row>
    <row r="225" spans="1:11" x14ac:dyDescent="0.3">
      <c r="A225" s="8">
        <v>224</v>
      </c>
      <c r="B225" s="8" t="s">
        <v>275</v>
      </c>
      <c r="C225" s="8" t="s">
        <v>901</v>
      </c>
      <c r="D225" s="8" t="s">
        <v>779</v>
      </c>
      <c r="E225" s="9">
        <f t="shared" si="9"/>
        <v>2025</v>
      </c>
      <c r="F225" s="8" t="str">
        <f>INDEX('Data Mahasiswa'!$N$1:$Q$14, MATCH(MID('Data Status Pendaftar'!B225, 5,2), 'Data Mahasiswa'!$N$1:$N$14,0),2)</f>
        <v>Ilmu Sosial</v>
      </c>
      <c r="G225" s="8" t="str" cm="1">
        <f t="array" ref="G225">INDEX('Data Mahasiswa'!$Q$2:$Q$14, MATCH(MID('Data Status Pendaftar'!B225,5,3), 'Data Mahasiswa'!$N$2:$N$14&amp;TEXT('Data Mahasiswa'!$P$2:$P$14,"0"), 0))</f>
        <v>Sosiologi</v>
      </c>
      <c r="H225" s="9">
        <f t="shared" ca="1" si="10"/>
        <v>2</v>
      </c>
      <c r="I225" s="10">
        <f>INDEX('Data Mahasiswa'!$A$1:$J$701, MATCH('Data Status Pendaftar'!B225, 'Data Mahasiswa'!$A$1:$A$701, 0), 10)</f>
        <v>3</v>
      </c>
      <c r="J225" s="8" t="str" cm="1">
        <f t="array" ref="J225">INDEX('Data Mahasiswa'!B225:I225,MATCH(MIN(VLOOKUP('Data Mahasiswa'!B225:I225,'Data Mahasiswa'!$N$27:$O$36,2,0)),VLOOKUP('Data Mahasiswa'!B225:I225,'Data Mahasiswa'!$N$27:$O$36,2,0),0))</f>
        <v>D</v>
      </c>
      <c r="K225" s="8" t="str">
        <f t="shared" si="11"/>
        <v>Tidak Eligible</v>
      </c>
    </row>
    <row r="226" spans="1:11" x14ac:dyDescent="0.3">
      <c r="A226" s="5">
        <v>225</v>
      </c>
      <c r="B226" s="5" t="s">
        <v>276</v>
      </c>
      <c r="C226" s="5" t="s">
        <v>994</v>
      </c>
      <c r="D226" s="5" t="s">
        <v>780</v>
      </c>
      <c r="E226" s="6">
        <f t="shared" si="9"/>
        <v>2025</v>
      </c>
      <c r="F226" s="5" t="str">
        <f>INDEX('Data Mahasiswa'!$N$1:$Q$14, MATCH(MID('Data Status Pendaftar'!B226, 5,2), 'Data Mahasiswa'!$N$1:$N$14,0),2)</f>
        <v>Ilmu Sosial</v>
      </c>
      <c r="G226" s="5" t="str" cm="1">
        <f t="array" ref="G226">INDEX('Data Mahasiswa'!$Q$2:$Q$14, MATCH(MID('Data Status Pendaftar'!B226,5,3), 'Data Mahasiswa'!$N$2:$N$14&amp;TEXT('Data Mahasiswa'!$P$2:$P$14,"0"), 0))</f>
        <v>Sosiologi</v>
      </c>
      <c r="H226" s="6">
        <f t="shared" ca="1" si="10"/>
        <v>2</v>
      </c>
      <c r="I226" s="7">
        <f>INDEX('Data Mahasiswa'!$A$1:$J$701, MATCH('Data Status Pendaftar'!B226, 'Data Mahasiswa'!$A$1:$A$701, 0), 10)</f>
        <v>3.7604166666666665</v>
      </c>
      <c r="J226" s="5" t="str" cm="1">
        <f t="array" ref="J226">INDEX('Data Mahasiswa'!B226:I226,MATCH(MIN(VLOOKUP('Data Mahasiswa'!B226:I226,'Data Mahasiswa'!$N$27:$O$36,2,0)),VLOOKUP('Data Mahasiswa'!B226:I226,'Data Mahasiswa'!$N$27:$O$36,2,0),0))</f>
        <v>B</v>
      </c>
      <c r="K226" s="5" t="str">
        <f t="shared" si="11"/>
        <v>Eligible</v>
      </c>
    </row>
    <row r="227" spans="1:11" x14ac:dyDescent="0.3">
      <c r="A227" s="8">
        <v>226</v>
      </c>
      <c r="B227" s="8" t="s">
        <v>277</v>
      </c>
      <c r="C227" s="8" t="s">
        <v>995</v>
      </c>
      <c r="D227" s="8" t="s">
        <v>780</v>
      </c>
      <c r="E227" s="9">
        <f t="shared" si="9"/>
        <v>2025</v>
      </c>
      <c r="F227" s="8" t="str">
        <f>INDEX('Data Mahasiswa'!$N$1:$Q$14, MATCH(MID('Data Status Pendaftar'!B227, 5,2), 'Data Mahasiswa'!$N$1:$N$14,0),2)</f>
        <v>Ilmu Sosial</v>
      </c>
      <c r="G227" s="8" t="str" cm="1">
        <f t="array" ref="G227">INDEX('Data Mahasiswa'!$Q$2:$Q$14, MATCH(MID('Data Status Pendaftar'!B227,5,3), 'Data Mahasiswa'!$N$2:$N$14&amp;TEXT('Data Mahasiswa'!$P$2:$P$14,"0"), 0))</f>
        <v>Sosiologi</v>
      </c>
      <c r="H227" s="9">
        <f t="shared" ca="1" si="10"/>
        <v>2</v>
      </c>
      <c r="I227" s="10">
        <f>INDEX('Data Mahasiswa'!$A$1:$J$701, MATCH('Data Status Pendaftar'!B227, 'Data Mahasiswa'!$A$1:$A$701, 0), 10)</f>
        <v>2.9583333333333335</v>
      </c>
      <c r="J227" s="8" t="str" cm="1">
        <f t="array" ref="J227">INDEX('Data Mahasiswa'!B227:I227,MATCH(MIN(VLOOKUP('Data Mahasiswa'!B227:I227,'Data Mahasiswa'!$N$27:$O$36,2,0)),VLOOKUP('Data Mahasiswa'!B227:I227,'Data Mahasiswa'!$N$27:$O$36,2,0),0))</f>
        <v>D</v>
      </c>
      <c r="K227" s="8" t="str">
        <f t="shared" si="11"/>
        <v>Tidak Eligible</v>
      </c>
    </row>
    <row r="228" spans="1:11" x14ac:dyDescent="0.3">
      <c r="A228" s="5">
        <v>227</v>
      </c>
      <c r="B228" s="5" t="s">
        <v>278</v>
      </c>
      <c r="C228" s="5" t="s">
        <v>996</v>
      </c>
      <c r="D228" s="5" t="s">
        <v>780</v>
      </c>
      <c r="E228" s="6">
        <f t="shared" si="9"/>
        <v>2025</v>
      </c>
      <c r="F228" s="5" t="str">
        <f>INDEX('Data Mahasiswa'!$N$1:$Q$14, MATCH(MID('Data Status Pendaftar'!B228, 5,2), 'Data Mahasiswa'!$N$1:$N$14,0),2)</f>
        <v>Ilmu Sosial</v>
      </c>
      <c r="G228" s="5" t="str" cm="1">
        <f t="array" ref="G228">INDEX('Data Mahasiswa'!$Q$2:$Q$14, MATCH(MID('Data Status Pendaftar'!B228,5,3), 'Data Mahasiswa'!$N$2:$N$14&amp;TEXT('Data Mahasiswa'!$P$2:$P$14,"0"), 0))</f>
        <v>Sosiologi</v>
      </c>
      <c r="H228" s="6">
        <f t="shared" ca="1" si="10"/>
        <v>2</v>
      </c>
      <c r="I228" s="7">
        <f>INDEX('Data Mahasiswa'!$A$1:$J$701, MATCH('Data Status Pendaftar'!B228, 'Data Mahasiswa'!$A$1:$A$701, 0), 10)</f>
        <v>2.75</v>
      </c>
      <c r="J228" s="5" t="str" cm="1">
        <f t="array" ref="J228">INDEX('Data Mahasiswa'!B228:I228,MATCH(MIN(VLOOKUP('Data Mahasiswa'!B228:I228,'Data Mahasiswa'!$N$27:$O$36,2,0)),VLOOKUP('Data Mahasiswa'!B228:I228,'Data Mahasiswa'!$N$27:$O$36,2,0),0))</f>
        <v>C</v>
      </c>
      <c r="K228" s="5" t="str">
        <f t="shared" si="11"/>
        <v>Eligible</v>
      </c>
    </row>
    <row r="229" spans="1:11" x14ac:dyDescent="0.3">
      <c r="A229" s="8">
        <v>228</v>
      </c>
      <c r="B229" s="8" t="s">
        <v>279</v>
      </c>
      <c r="C229" s="8" t="s">
        <v>997</v>
      </c>
      <c r="D229" s="8" t="s">
        <v>779</v>
      </c>
      <c r="E229" s="9">
        <f t="shared" si="9"/>
        <v>2025</v>
      </c>
      <c r="F229" s="8" t="str">
        <f>INDEX('Data Mahasiswa'!$N$1:$Q$14, MATCH(MID('Data Status Pendaftar'!B229, 5,2), 'Data Mahasiswa'!$N$1:$N$14,0),2)</f>
        <v>Ilmu Sosial</v>
      </c>
      <c r="G229" s="8" t="str" cm="1">
        <f t="array" ref="G229">INDEX('Data Mahasiswa'!$Q$2:$Q$14, MATCH(MID('Data Status Pendaftar'!B229,5,3), 'Data Mahasiswa'!$N$2:$N$14&amp;TEXT('Data Mahasiswa'!$P$2:$P$14,"0"), 0))</f>
        <v>Sosiologi</v>
      </c>
      <c r="H229" s="9">
        <f t="shared" ca="1" si="10"/>
        <v>2</v>
      </c>
      <c r="I229" s="10">
        <f>INDEX('Data Mahasiswa'!$A$1:$J$701, MATCH('Data Status Pendaftar'!B229, 'Data Mahasiswa'!$A$1:$A$701, 0), 10)</f>
        <v>3.3854166666666665</v>
      </c>
      <c r="J229" s="8" t="str" cm="1">
        <f t="array" ref="J229">INDEX('Data Mahasiswa'!B229:I229,MATCH(MIN(VLOOKUP('Data Mahasiswa'!B229:I229,'Data Mahasiswa'!$N$27:$O$36,2,0)),VLOOKUP('Data Mahasiswa'!B229:I229,'Data Mahasiswa'!$N$27:$O$36,2,0),0))</f>
        <v>C+</v>
      </c>
      <c r="K229" s="8" t="str">
        <f t="shared" si="11"/>
        <v>Eligible</v>
      </c>
    </row>
    <row r="230" spans="1:11" x14ac:dyDescent="0.3">
      <c r="A230" s="5">
        <v>229</v>
      </c>
      <c r="B230" s="5" t="s">
        <v>280</v>
      </c>
      <c r="C230" s="5" t="s">
        <v>998</v>
      </c>
      <c r="D230" s="5" t="s">
        <v>780</v>
      </c>
      <c r="E230" s="6">
        <f t="shared" si="9"/>
        <v>2025</v>
      </c>
      <c r="F230" s="5" t="str">
        <f>INDEX('Data Mahasiswa'!$N$1:$Q$14, MATCH(MID('Data Status Pendaftar'!B230, 5,2), 'Data Mahasiswa'!$N$1:$N$14,0),2)</f>
        <v>Ilmu Sosial</v>
      </c>
      <c r="G230" s="5" t="str" cm="1">
        <f t="array" ref="G230">INDEX('Data Mahasiswa'!$Q$2:$Q$14, MATCH(MID('Data Status Pendaftar'!B230,5,3), 'Data Mahasiswa'!$N$2:$N$14&amp;TEXT('Data Mahasiswa'!$P$2:$P$14,"0"), 0))</f>
        <v>Sosiologi</v>
      </c>
      <c r="H230" s="6">
        <f t="shared" ca="1" si="10"/>
        <v>2</v>
      </c>
      <c r="I230" s="7">
        <f>INDEX('Data Mahasiswa'!$A$1:$J$701, MATCH('Data Status Pendaftar'!B230, 'Data Mahasiswa'!$A$1:$A$701, 0), 10)</f>
        <v>3.2395833333333335</v>
      </c>
      <c r="J230" s="5" t="str" cm="1">
        <f t="array" ref="J230">INDEX('Data Mahasiswa'!B230:I230,MATCH(MIN(VLOOKUP('Data Mahasiswa'!B230:I230,'Data Mahasiswa'!$N$27:$O$36,2,0)),VLOOKUP('Data Mahasiswa'!B230:I230,'Data Mahasiswa'!$N$27:$O$36,2,0),0))</f>
        <v>C</v>
      </c>
      <c r="K230" s="5" t="str">
        <f t="shared" si="11"/>
        <v>Eligible</v>
      </c>
    </row>
    <row r="231" spans="1:11" x14ac:dyDescent="0.3">
      <c r="A231" s="8">
        <v>230</v>
      </c>
      <c r="B231" s="8" t="s">
        <v>281</v>
      </c>
      <c r="C231" s="8" t="s">
        <v>999</v>
      </c>
      <c r="D231" s="8" t="s">
        <v>780</v>
      </c>
      <c r="E231" s="9">
        <f t="shared" si="9"/>
        <v>2025</v>
      </c>
      <c r="F231" s="8" t="str">
        <f>INDEX('Data Mahasiswa'!$N$1:$Q$14, MATCH(MID('Data Status Pendaftar'!B231, 5,2), 'Data Mahasiswa'!$N$1:$N$14,0),2)</f>
        <v>Ilmu Sosial</v>
      </c>
      <c r="G231" s="8" t="str" cm="1">
        <f t="array" ref="G231">INDEX('Data Mahasiswa'!$Q$2:$Q$14, MATCH(MID('Data Status Pendaftar'!B231,5,3), 'Data Mahasiswa'!$N$2:$N$14&amp;TEXT('Data Mahasiswa'!$P$2:$P$14,"0"), 0))</f>
        <v>Sosiologi</v>
      </c>
      <c r="H231" s="9">
        <f t="shared" ca="1" si="10"/>
        <v>2</v>
      </c>
      <c r="I231" s="10">
        <f>INDEX('Data Mahasiswa'!$A$1:$J$701, MATCH('Data Status Pendaftar'!B231, 'Data Mahasiswa'!$A$1:$A$701, 0), 10)</f>
        <v>2.6458333333333335</v>
      </c>
      <c r="J231" s="8" t="str" cm="1">
        <f t="array" ref="J231">INDEX('Data Mahasiswa'!B231:I231,MATCH(MIN(VLOOKUP('Data Mahasiswa'!B231:I231,'Data Mahasiswa'!$N$27:$O$36,2,0)),VLOOKUP('Data Mahasiswa'!B231:I231,'Data Mahasiswa'!$N$27:$O$36,2,0),0))</f>
        <v>E</v>
      </c>
      <c r="K231" s="8" t="str">
        <f t="shared" si="11"/>
        <v>Tidak Eligible</v>
      </c>
    </row>
    <row r="232" spans="1:11" x14ac:dyDescent="0.3">
      <c r="A232" s="5">
        <v>231</v>
      </c>
      <c r="B232" s="5" t="s">
        <v>282</v>
      </c>
      <c r="C232" s="5" t="s">
        <v>1000</v>
      </c>
      <c r="D232" s="5" t="s">
        <v>780</v>
      </c>
      <c r="E232" s="6">
        <f t="shared" si="9"/>
        <v>2025</v>
      </c>
      <c r="F232" s="5" t="str">
        <f>INDEX('Data Mahasiswa'!$N$1:$Q$14, MATCH(MID('Data Status Pendaftar'!B232, 5,2), 'Data Mahasiswa'!$N$1:$N$14,0),2)</f>
        <v>Ilmu Sosial</v>
      </c>
      <c r="G232" s="5" t="str" cm="1">
        <f t="array" ref="G232">INDEX('Data Mahasiswa'!$Q$2:$Q$14, MATCH(MID('Data Status Pendaftar'!B232,5,3), 'Data Mahasiswa'!$N$2:$N$14&amp;TEXT('Data Mahasiswa'!$P$2:$P$14,"0"), 0))</f>
        <v>Sosiologi</v>
      </c>
      <c r="H232" s="6">
        <f t="shared" ca="1" si="10"/>
        <v>2</v>
      </c>
      <c r="I232" s="7">
        <f>INDEX('Data Mahasiswa'!$A$1:$J$701, MATCH('Data Status Pendaftar'!B232, 'Data Mahasiswa'!$A$1:$A$701, 0), 10)</f>
        <v>3.3541666666666665</v>
      </c>
      <c r="J232" s="5" t="str" cm="1">
        <f t="array" ref="J232">INDEX('Data Mahasiswa'!B232:I232,MATCH(MIN(VLOOKUP('Data Mahasiswa'!B232:I232,'Data Mahasiswa'!$N$27:$O$36,2,0)),VLOOKUP('Data Mahasiswa'!B232:I232,'Data Mahasiswa'!$N$27:$O$36,2,0),0))</f>
        <v>C</v>
      </c>
      <c r="K232" s="5" t="str">
        <f t="shared" si="11"/>
        <v>Eligible</v>
      </c>
    </row>
    <row r="233" spans="1:11" x14ac:dyDescent="0.3">
      <c r="A233" s="8">
        <v>232</v>
      </c>
      <c r="B233" s="8" t="s">
        <v>283</v>
      </c>
      <c r="C233" s="8" t="s">
        <v>1001</v>
      </c>
      <c r="D233" s="8" t="s">
        <v>780</v>
      </c>
      <c r="E233" s="9">
        <f t="shared" si="9"/>
        <v>2025</v>
      </c>
      <c r="F233" s="8" t="str">
        <f>INDEX('Data Mahasiswa'!$N$1:$Q$14, MATCH(MID('Data Status Pendaftar'!B233, 5,2), 'Data Mahasiswa'!$N$1:$N$14,0),2)</f>
        <v>Ilmu Sosial</v>
      </c>
      <c r="G233" s="8" t="str" cm="1">
        <f t="array" ref="G233">INDEX('Data Mahasiswa'!$Q$2:$Q$14, MATCH(MID('Data Status Pendaftar'!B233,5,3), 'Data Mahasiswa'!$N$2:$N$14&amp;TEXT('Data Mahasiswa'!$P$2:$P$14,"0"), 0))</f>
        <v>Sosiologi</v>
      </c>
      <c r="H233" s="9">
        <f t="shared" ca="1" si="10"/>
        <v>2</v>
      </c>
      <c r="I233" s="10">
        <f>INDEX('Data Mahasiswa'!$A$1:$J$701, MATCH('Data Status Pendaftar'!B233, 'Data Mahasiswa'!$A$1:$A$701, 0), 10)</f>
        <v>2.3958333333333335</v>
      </c>
      <c r="J233" s="8" t="str" cm="1">
        <f t="array" ref="J233">INDEX('Data Mahasiswa'!B233:I233,MATCH(MIN(VLOOKUP('Data Mahasiswa'!B233:I233,'Data Mahasiswa'!$N$27:$O$36,2,0)),VLOOKUP('Data Mahasiswa'!B233:I233,'Data Mahasiswa'!$N$27:$O$36,2,0),0))</f>
        <v>E</v>
      </c>
      <c r="K233" s="8" t="str">
        <f t="shared" si="11"/>
        <v>Tidak Eligible</v>
      </c>
    </row>
    <row r="234" spans="1:11" x14ac:dyDescent="0.3">
      <c r="A234" s="5">
        <v>233</v>
      </c>
      <c r="B234" s="5" t="s">
        <v>284</v>
      </c>
      <c r="C234" s="5" t="s">
        <v>1002</v>
      </c>
      <c r="D234" s="5" t="s">
        <v>779</v>
      </c>
      <c r="E234" s="6">
        <f t="shared" si="9"/>
        <v>2025</v>
      </c>
      <c r="F234" s="5" t="str">
        <f>INDEX('Data Mahasiswa'!$N$1:$Q$14, MATCH(MID('Data Status Pendaftar'!B234, 5,2), 'Data Mahasiswa'!$N$1:$N$14,0),2)</f>
        <v>Ilmu Sosial</v>
      </c>
      <c r="G234" s="5" t="str" cm="1">
        <f t="array" ref="G234">INDEX('Data Mahasiswa'!$Q$2:$Q$14, MATCH(MID('Data Status Pendaftar'!B234,5,3), 'Data Mahasiswa'!$N$2:$N$14&amp;TEXT('Data Mahasiswa'!$P$2:$P$14,"0"), 0))</f>
        <v>Sosiologi</v>
      </c>
      <c r="H234" s="6">
        <f t="shared" ca="1" si="10"/>
        <v>2</v>
      </c>
      <c r="I234" s="7">
        <f>INDEX('Data Mahasiswa'!$A$1:$J$701, MATCH('Data Status Pendaftar'!B234, 'Data Mahasiswa'!$A$1:$A$701, 0), 10)</f>
        <v>3.25</v>
      </c>
      <c r="J234" s="5" t="str" cm="1">
        <f t="array" ref="J234">INDEX('Data Mahasiswa'!B234:I234,MATCH(MIN(VLOOKUP('Data Mahasiswa'!B234:I234,'Data Mahasiswa'!$N$27:$O$36,2,0)),VLOOKUP('Data Mahasiswa'!B234:I234,'Data Mahasiswa'!$N$27:$O$36,2,0),0))</f>
        <v>E</v>
      </c>
      <c r="K234" s="5" t="str">
        <f t="shared" si="11"/>
        <v>Tidak Eligible</v>
      </c>
    </row>
    <row r="235" spans="1:11" x14ac:dyDescent="0.3">
      <c r="A235" s="8">
        <v>234</v>
      </c>
      <c r="B235" s="8" t="s">
        <v>285</v>
      </c>
      <c r="C235" s="8" t="s">
        <v>1003</v>
      </c>
      <c r="D235" s="8" t="s">
        <v>780</v>
      </c>
      <c r="E235" s="9">
        <f t="shared" si="9"/>
        <v>2025</v>
      </c>
      <c r="F235" s="8" t="str">
        <f>INDEX('Data Mahasiswa'!$N$1:$Q$14, MATCH(MID('Data Status Pendaftar'!B235, 5,2), 'Data Mahasiswa'!$N$1:$N$14,0),2)</f>
        <v>Ilmu Sosial</v>
      </c>
      <c r="G235" s="8" t="str" cm="1">
        <f t="array" ref="G235">INDEX('Data Mahasiswa'!$Q$2:$Q$14, MATCH(MID('Data Status Pendaftar'!B235,5,3), 'Data Mahasiswa'!$N$2:$N$14&amp;TEXT('Data Mahasiswa'!$P$2:$P$14,"0"), 0))</f>
        <v>Sosiologi</v>
      </c>
      <c r="H235" s="9">
        <f t="shared" ca="1" si="10"/>
        <v>2</v>
      </c>
      <c r="I235" s="10">
        <f>INDEX('Data Mahasiswa'!$A$1:$J$701, MATCH('Data Status Pendaftar'!B235, 'Data Mahasiswa'!$A$1:$A$701, 0), 10)</f>
        <v>3.1875</v>
      </c>
      <c r="J235" s="8" t="str" cm="1">
        <f t="array" ref="J235">INDEX('Data Mahasiswa'!B235:I235,MATCH(MIN(VLOOKUP('Data Mahasiswa'!B235:I235,'Data Mahasiswa'!$N$27:$O$36,2,0)),VLOOKUP('Data Mahasiswa'!B235:I235,'Data Mahasiswa'!$N$27:$O$36,2,0),0))</f>
        <v>C</v>
      </c>
      <c r="K235" s="8" t="str">
        <f t="shared" si="11"/>
        <v>Eligible</v>
      </c>
    </row>
    <row r="236" spans="1:11" x14ac:dyDescent="0.3">
      <c r="A236" s="5">
        <v>235</v>
      </c>
      <c r="B236" s="5" t="s">
        <v>286</v>
      </c>
      <c r="C236" s="5" t="s">
        <v>1004</v>
      </c>
      <c r="D236" s="5" t="s">
        <v>780</v>
      </c>
      <c r="E236" s="6">
        <f t="shared" si="9"/>
        <v>2025</v>
      </c>
      <c r="F236" s="5" t="str">
        <f>INDEX('Data Mahasiswa'!$N$1:$Q$14, MATCH(MID('Data Status Pendaftar'!B236, 5,2), 'Data Mahasiswa'!$N$1:$N$14,0),2)</f>
        <v>Ilmu Sosial</v>
      </c>
      <c r="G236" s="5" t="str" cm="1">
        <f t="array" ref="G236">INDEX('Data Mahasiswa'!$Q$2:$Q$14, MATCH(MID('Data Status Pendaftar'!B236,5,3), 'Data Mahasiswa'!$N$2:$N$14&amp;TEXT('Data Mahasiswa'!$P$2:$P$14,"0"), 0))</f>
        <v>Sosiologi</v>
      </c>
      <c r="H236" s="6">
        <f t="shared" ca="1" si="10"/>
        <v>2</v>
      </c>
      <c r="I236" s="7">
        <f>INDEX('Data Mahasiswa'!$A$1:$J$701, MATCH('Data Status Pendaftar'!B236, 'Data Mahasiswa'!$A$1:$A$701, 0), 10)</f>
        <v>3.28125</v>
      </c>
      <c r="J236" s="5" t="str" cm="1">
        <f t="array" ref="J236">INDEX('Data Mahasiswa'!B236:I236,MATCH(MIN(VLOOKUP('Data Mahasiswa'!B236:I236,'Data Mahasiswa'!$N$27:$O$36,2,0)),VLOOKUP('Data Mahasiswa'!B236:I236,'Data Mahasiswa'!$N$27:$O$36,2,0),0))</f>
        <v>C+</v>
      </c>
      <c r="K236" s="5" t="str">
        <f t="shared" si="11"/>
        <v>Eligible</v>
      </c>
    </row>
    <row r="237" spans="1:11" x14ac:dyDescent="0.3">
      <c r="A237" s="8">
        <v>236</v>
      </c>
      <c r="B237" s="8" t="s">
        <v>287</v>
      </c>
      <c r="C237" s="8" t="s">
        <v>1005</v>
      </c>
      <c r="D237" s="8" t="s">
        <v>779</v>
      </c>
      <c r="E237" s="9">
        <f t="shared" si="9"/>
        <v>2025</v>
      </c>
      <c r="F237" s="8" t="str">
        <f>INDEX('Data Mahasiswa'!$N$1:$Q$14, MATCH(MID('Data Status Pendaftar'!B237, 5,2), 'Data Mahasiswa'!$N$1:$N$14,0),2)</f>
        <v>Ilmu Sosial</v>
      </c>
      <c r="G237" s="8" t="str" cm="1">
        <f t="array" ref="G237">INDEX('Data Mahasiswa'!$Q$2:$Q$14, MATCH(MID('Data Status Pendaftar'!B237,5,3), 'Data Mahasiswa'!$N$2:$N$14&amp;TEXT('Data Mahasiswa'!$P$2:$P$14,"0"), 0))</f>
        <v>Sosiologi</v>
      </c>
      <c r="H237" s="9">
        <f t="shared" ca="1" si="10"/>
        <v>2</v>
      </c>
      <c r="I237" s="10">
        <f>INDEX('Data Mahasiswa'!$A$1:$J$701, MATCH('Data Status Pendaftar'!B237, 'Data Mahasiswa'!$A$1:$A$701, 0), 10)</f>
        <v>3.4375</v>
      </c>
      <c r="J237" s="8" t="str" cm="1">
        <f t="array" ref="J237">INDEX('Data Mahasiswa'!B237:I237,MATCH(MIN(VLOOKUP('Data Mahasiswa'!B237:I237,'Data Mahasiswa'!$N$27:$O$36,2,0)),VLOOKUP('Data Mahasiswa'!B237:I237,'Data Mahasiswa'!$N$27:$O$36,2,0),0))</f>
        <v>C+</v>
      </c>
      <c r="K237" s="8" t="str">
        <f t="shared" si="11"/>
        <v>Eligible</v>
      </c>
    </row>
    <row r="238" spans="1:11" x14ac:dyDescent="0.3">
      <c r="A238" s="5">
        <v>237</v>
      </c>
      <c r="B238" s="5" t="s">
        <v>288</v>
      </c>
      <c r="C238" s="5" t="s">
        <v>1006</v>
      </c>
      <c r="D238" s="5" t="s">
        <v>779</v>
      </c>
      <c r="E238" s="6">
        <f t="shared" si="9"/>
        <v>2025</v>
      </c>
      <c r="F238" s="5" t="str">
        <f>INDEX('Data Mahasiswa'!$N$1:$Q$14, MATCH(MID('Data Status Pendaftar'!B238, 5,2), 'Data Mahasiswa'!$N$1:$N$14,0),2)</f>
        <v>Ilmu Sosial</v>
      </c>
      <c r="G238" s="5" t="str" cm="1">
        <f t="array" ref="G238">INDEX('Data Mahasiswa'!$Q$2:$Q$14, MATCH(MID('Data Status Pendaftar'!B238,5,3), 'Data Mahasiswa'!$N$2:$N$14&amp;TEXT('Data Mahasiswa'!$P$2:$P$14,"0"), 0))</f>
        <v>Sosiologi</v>
      </c>
      <c r="H238" s="6">
        <f t="shared" ca="1" si="10"/>
        <v>2</v>
      </c>
      <c r="I238" s="7">
        <f>INDEX('Data Mahasiswa'!$A$1:$J$701, MATCH('Data Status Pendaftar'!B238, 'Data Mahasiswa'!$A$1:$A$701, 0), 10)</f>
        <v>2.9166666666666665</v>
      </c>
      <c r="J238" s="5" t="str" cm="1">
        <f t="array" ref="J238">INDEX('Data Mahasiswa'!B238:I238,MATCH(MIN(VLOOKUP('Data Mahasiswa'!B238:I238,'Data Mahasiswa'!$N$27:$O$36,2,0)),VLOOKUP('Data Mahasiswa'!B238:I238,'Data Mahasiswa'!$N$27:$O$36,2,0),0))</f>
        <v>C</v>
      </c>
      <c r="K238" s="5" t="str">
        <f t="shared" si="11"/>
        <v>Eligible</v>
      </c>
    </row>
    <row r="239" spans="1:11" x14ac:dyDescent="0.3">
      <c r="A239" s="8">
        <v>238</v>
      </c>
      <c r="B239" s="8" t="s">
        <v>289</v>
      </c>
      <c r="C239" s="8" t="s">
        <v>1007</v>
      </c>
      <c r="D239" s="8" t="s">
        <v>780</v>
      </c>
      <c r="E239" s="9">
        <f t="shared" si="9"/>
        <v>2025</v>
      </c>
      <c r="F239" s="8" t="str">
        <f>INDEX('Data Mahasiswa'!$N$1:$Q$14, MATCH(MID('Data Status Pendaftar'!B239, 5,2), 'Data Mahasiswa'!$N$1:$N$14,0),2)</f>
        <v>Ilmu Sosial</v>
      </c>
      <c r="G239" s="8" t="str" cm="1">
        <f t="array" ref="G239">INDEX('Data Mahasiswa'!$Q$2:$Q$14, MATCH(MID('Data Status Pendaftar'!B239,5,3), 'Data Mahasiswa'!$N$2:$N$14&amp;TEXT('Data Mahasiswa'!$P$2:$P$14,"0"), 0))</f>
        <v>Sosiologi</v>
      </c>
      <c r="H239" s="9">
        <f t="shared" ca="1" si="10"/>
        <v>2</v>
      </c>
      <c r="I239" s="10">
        <f>INDEX('Data Mahasiswa'!$A$1:$J$701, MATCH('Data Status Pendaftar'!B239, 'Data Mahasiswa'!$A$1:$A$701, 0), 10)</f>
        <v>3.0729166666666665</v>
      </c>
      <c r="J239" s="8" t="str" cm="1">
        <f t="array" ref="J239">INDEX('Data Mahasiswa'!B239:I239,MATCH(MIN(VLOOKUP('Data Mahasiswa'!B239:I239,'Data Mahasiswa'!$N$27:$O$36,2,0)),VLOOKUP('Data Mahasiswa'!B239:I239,'Data Mahasiswa'!$N$27:$O$36,2,0),0))</f>
        <v>C</v>
      </c>
      <c r="K239" s="8" t="str">
        <f t="shared" si="11"/>
        <v>Eligible</v>
      </c>
    </row>
    <row r="240" spans="1:11" x14ac:dyDescent="0.3">
      <c r="A240" s="5">
        <v>239</v>
      </c>
      <c r="B240" s="5" t="s">
        <v>290</v>
      </c>
      <c r="C240" s="5" t="s">
        <v>1008</v>
      </c>
      <c r="D240" s="5" t="s">
        <v>780</v>
      </c>
      <c r="E240" s="6">
        <f t="shared" si="9"/>
        <v>2025</v>
      </c>
      <c r="F240" s="5" t="str">
        <f>INDEX('Data Mahasiswa'!$N$1:$Q$14, MATCH(MID('Data Status Pendaftar'!B240, 5,2), 'Data Mahasiswa'!$N$1:$N$14,0),2)</f>
        <v>Ilmu Sosial</v>
      </c>
      <c r="G240" s="5" t="str" cm="1">
        <f t="array" ref="G240">INDEX('Data Mahasiswa'!$Q$2:$Q$14, MATCH(MID('Data Status Pendaftar'!B240,5,3), 'Data Mahasiswa'!$N$2:$N$14&amp;TEXT('Data Mahasiswa'!$P$2:$P$14,"0"), 0))</f>
        <v>Sosiologi</v>
      </c>
      <c r="H240" s="6">
        <f t="shared" ca="1" si="10"/>
        <v>2</v>
      </c>
      <c r="I240" s="7">
        <f>INDEX('Data Mahasiswa'!$A$1:$J$701, MATCH('Data Status Pendaftar'!B240, 'Data Mahasiswa'!$A$1:$A$701, 0), 10)</f>
        <v>3.3958333333333335</v>
      </c>
      <c r="J240" s="5" t="str" cm="1">
        <f t="array" ref="J240">INDEX('Data Mahasiswa'!B240:I240,MATCH(MIN(VLOOKUP('Data Mahasiswa'!B240:I240,'Data Mahasiswa'!$N$27:$O$36,2,0)),VLOOKUP('Data Mahasiswa'!B240:I240,'Data Mahasiswa'!$N$27:$O$36,2,0),0))</f>
        <v>B</v>
      </c>
      <c r="K240" s="5" t="str">
        <f t="shared" si="11"/>
        <v>Eligible</v>
      </c>
    </row>
    <row r="241" spans="1:11" x14ac:dyDescent="0.3">
      <c r="A241" s="8">
        <v>240</v>
      </c>
      <c r="B241" s="8" t="s">
        <v>291</v>
      </c>
      <c r="C241" s="8" t="s">
        <v>1009</v>
      </c>
      <c r="D241" s="8" t="s">
        <v>779</v>
      </c>
      <c r="E241" s="9">
        <f t="shared" si="9"/>
        <v>2025</v>
      </c>
      <c r="F241" s="8" t="str">
        <f>INDEX('Data Mahasiswa'!$N$1:$Q$14, MATCH(MID('Data Status Pendaftar'!B241, 5,2), 'Data Mahasiswa'!$N$1:$N$14,0),2)</f>
        <v>Ilmu Sosial</v>
      </c>
      <c r="G241" s="8" t="str" cm="1">
        <f t="array" ref="G241">INDEX('Data Mahasiswa'!$Q$2:$Q$14, MATCH(MID('Data Status Pendaftar'!B241,5,3), 'Data Mahasiswa'!$N$2:$N$14&amp;TEXT('Data Mahasiswa'!$P$2:$P$14,"0"), 0))</f>
        <v>Sosiologi</v>
      </c>
      <c r="H241" s="9">
        <f t="shared" ca="1" si="10"/>
        <v>2</v>
      </c>
      <c r="I241" s="10">
        <f>INDEX('Data Mahasiswa'!$A$1:$J$701, MATCH('Data Status Pendaftar'!B241, 'Data Mahasiswa'!$A$1:$A$701, 0), 10)</f>
        <v>2.9583333333333335</v>
      </c>
      <c r="J241" s="8" t="str" cm="1">
        <f t="array" ref="J241">INDEX('Data Mahasiswa'!B241:I241,MATCH(MIN(VLOOKUP('Data Mahasiswa'!B241:I241,'Data Mahasiswa'!$N$27:$O$36,2,0)),VLOOKUP('Data Mahasiswa'!B241:I241,'Data Mahasiswa'!$N$27:$O$36,2,0),0))</f>
        <v>C</v>
      </c>
      <c r="K241" s="8" t="str">
        <f t="shared" si="11"/>
        <v>Eligible</v>
      </c>
    </row>
    <row r="242" spans="1:11" x14ac:dyDescent="0.3">
      <c r="A242" s="5">
        <v>241</v>
      </c>
      <c r="B242" s="5" t="s">
        <v>292</v>
      </c>
      <c r="C242" s="5" t="s">
        <v>1010</v>
      </c>
      <c r="D242" s="5" t="s">
        <v>779</v>
      </c>
      <c r="E242" s="6">
        <f t="shared" si="9"/>
        <v>2025</v>
      </c>
      <c r="F242" s="5" t="str">
        <f>INDEX('Data Mahasiswa'!$N$1:$Q$14, MATCH(MID('Data Status Pendaftar'!B242, 5,2), 'Data Mahasiswa'!$N$1:$N$14,0),2)</f>
        <v>Ilmu Sosial</v>
      </c>
      <c r="G242" s="5" t="str" cm="1">
        <f t="array" ref="G242">INDEX('Data Mahasiswa'!$Q$2:$Q$14, MATCH(MID('Data Status Pendaftar'!B242,5,3), 'Data Mahasiswa'!$N$2:$N$14&amp;TEXT('Data Mahasiswa'!$P$2:$P$14,"0"), 0))</f>
        <v>Sosiologi</v>
      </c>
      <c r="H242" s="6">
        <f t="shared" ca="1" si="10"/>
        <v>2</v>
      </c>
      <c r="I242" s="7">
        <f>INDEX('Data Mahasiswa'!$A$1:$J$701, MATCH('Data Status Pendaftar'!B242, 'Data Mahasiswa'!$A$1:$A$701, 0), 10)</f>
        <v>3</v>
      </c>
      <c r="J242" s="5" t="str" cm="1">
        <f t="array" ref="J242">INDEX('Data Mahasiswa'!B242:I242,MATCH(MIN(VLOOKUP('Data Mahasiswa'!B242:I242,'Data Mahasiswa'!$N$27:$O$36,2,0)),VLOOKUP('Data Mahasiswa'!B242:I242,'Data Mahasiswa'!$N$27:$O$36,2,0),0))</f>
        <v>D</v>
      </c>
      <c r="K242" s="5" t="str">
        <f t="shared" si="11"/>
        <v>Tidak Eligible</v>
      </c>
    </row>
    <row r="243" spans="1:11" x14ac:dyDescent="0.3">
      <c r="A243" s="8">
        <v>242</v>
      </c>
      <c r="B243" s="8" t="s">
        <v>293</v>
      </c>
      <c r="C243" s="8" t="s">
        <v>1011</v>
      </c>
      <c r="D243" s="8" t="s">
        <v>779</v>
      </c>
      <c r="E243" s="9">
        <f t="shared" si="9"/>
        <v>2025</v>
      </c>
      <c r="F243" s="8" t="str">
        <f>INDEX('Data Mahasiswa'!$N$1:$Q$14, MATCH(MID('Data Status Pendaftar'!B243, 5,2), 'Data Mahasiswa'!$N$1:$N$14,0),2)</f>
        <v>Ilmu Sosial</v>
      </c>
      <c r="G243" s="8" t="str" cm="1">
        <f t="array" ref="G243">INDEX('Data Mahasiswa'!$Q$2:$Q$14, MATCH(MID('Data Status Pendaftar'!B243,5,3), 'Data Mahasiswa'!$N$2:$N$14&amp;TEXT('Data Mahasiswa'!$P$2:$P$14,"0"), 0))</f>
        <v>Sosiologi</v>
      </c>
      <c r="H243" s="9">
        <f t="shared" ca="1" si="10"/>
        <v>2</v>
      </c>
      <c r="I243" s="10">
        <f>INDEX('Data Mahasiswa'!$A$1:$J$701, MATCH('Data Status Pendaftar'!B243, 'Data Mahasiswa'!$A$1:$A$701, 0), 10)</f>
        <v>3.2916666666666665</v>
      </c>
      <c r="J243" s="8" t="str" cm="1">
        <f t="array" ref="J243">INDEX('Data Mahasiswa'!B243:I243,MATCH(MIN(VLOOKUP('Data Mahasiswa'!B243:I243,'Data Mahasiswa'!$N$27:$O$36,2,0)),VLOOKUP('Data Mahasiswa'!B243:I243,'Data Mahasiswa'!$N$27:$O$36,2,0),0))</f>
        <v>D</v>
      </c>
      <c r="K243" s="8" t="str">
        <f t="shared" si="11"/>
        <v>Tidak Eligible</v>
      </c>
    </row>
    <row r="244" spans="1:11" x14ac:dyDescent="0.3">
      <c r="A244" s="5">
        <v>243</v>
      </c>
      <c r="B244" s="5" t="s">
        <v>294</v>
      </c>
      <c r="C244" s="5" t="s">
        <v>1012</v>
      </c>
      <c r="D244" s="5" t="s">
        <v>780</v>
      </c>
      <c r="E244" s="6">
        <f t="shared" si="9"/>
        <v>2025</v>
      </c>
      <c r="F244" s="5" t="str">
        <f>INDEX('Data Mahasiswa'!$N$1:$Q$14, MATCH(MID('Data Status Pendaftar'!B244, 5,2), 'Data Mahasiswa'!$N$1:$N$14,0),2)</f>
        <v>Ilmu Sosial</v>
      </c>
      <c r="G244" s="5" t="str" cm="1">
        <f t="array" ref="G244">INDEX('Data Mahasiswa'!$Q$2:$Q$14, MATCH(MID('Data Status Pendaftar'!B244,5,3), 'Data Mahasiswa'!$N$2:$N$14&amp;TEXT('Data Mahasiswa'!$P$2:$P$14,"0"), 0))</f>
        <v>Sosiologi</v>
      </c>
      <c r="H244" s="6">
        <f t="shared" ca="1" si="10"/>
        <v>2</v>
      </c>
      <c r="I244" s="7">
        <f>INDEX('Data Mahasiswa'!$A$1:$J$701, MATCH('Data Status Pendaftar'!B244, 'Data Mahasiswa'!$A$1:$A$701, 0), 10)</f>
        <v>3.3020833333333335</v>
      </c>
      <c r="J244" s="5" t="str" cm="1">
        <f t="array" ref="J244">INDEX('Data Mahasiswa'!B244:I244,MATCH(MIN(VLOOKUP('Data Mahasiswa'!B244:I244,'Data Mahasiswa'!$N$27:$O$36,2,0)),VLOOKUP('Data Mahasiswa'!B244:I244,'Data Mahasiswa'!$N$27:$O$36,2,0),0))</f>
        <v>B-</v>
      </c>
      <c r="K244" s="5" t="str">
        <f t="shared" si="11"/>
        <v>Eligible</v>
      </c>
    </row>
    <row r="245" spans="1:11" x14ac:dyDescent="0.3">
      <c r="A245" s="8">
        <v>244</v>
      </c>
      <c r="B245" s="8" t="s">
        <v>295</v>
      </c>
      <c r="C245" s="8" t="s">
        <v>1013</v>
      </c>
      <c r="D245" s="8" t="s">
        <v>780</v>
      </c>
      <c r="E245" s="9">
        <f t="shared" si="9"/>
        <v>2025</v>
      </c>
      <c r="F245" s="8" t="str">
        <f>INDEX('Data Mahasiswa'!$N$1:$Q$14, MATCH(MID('Data Status Pendaftar'!B245, 5,2), 'Data Mahasiswa'!$N$1:$N$14,0),2)</f>
        <v>Ilmu Sosial</v>
      </c>
      <c r="G245" s="8" t="str" cm="1">
        <f t="array" ref="G245">INDEX('Data Mahasiswa'!$Q$2:$Q$14, MATCH(MID('Data Status Pendaftar'!B245,5,3), 'Data Mahasiswa'!$N$2:$N$14&amp;TEXT('Data Mahasiswa'!$P$2:$P$14,"0"), 0))</f>
        <v>Sosiologi</v>
      </c>
      <c r="H245" s="9">
        <f t="shared" ca="1" si="10"/>
        <v>2</v>
      </c>
      <c r="I245" s="10">
        <f>INDEX('Data Mahasiswa'!$A$1:$J$701, MATCH('Data Status Pendaftar'!B245, 'Data Mahasiswa'!$A$1:$A$701, 0), 10)</f>
        <v>3.2604166666666665</v>
      </c>
      <c r="J245" s="8" t="str" cm="1">
        <f t="array" ref="J245">INDEX('Data Mahasiswa'!B245:I245,MATCH(MIN(VLOOKUP('Data Mahasiswa'!B245:I245,'Data Mahasiswa'!$N$27:$O$36,2,0)),VLOOKUP('Data Mahasiswa'!B245:I245,'Data Mahasiswa'!$N$27:$O$36,2,0),0))</f>
        <v>C</v>
      </c>
      <c r="K245" s="8" t="str">
        <f t="shared" si="11"/>
        <v>Eligible</v>
      </c>
    </row>
    <row r="246" spans="1:11" x14ac:dyDescent="0.3">
      <c r="A246" s="5">
        <v>245</v>
      </c>
      <c r="B246" s="5" t="s">
        <v>296</v>
      </c>
      <c r="C246" s="5" t="s">
        <v>1014</v>
      </c>
      <c r="D246" s="5" t="s">
        <v>780</v>
      </c>
      <c r="E246" s="6">
        <f t="shared" si="9"/>
        <v>2025</v>
      </c>
      <c r="F246" s="5" t="str">
        <f>INDEX('Data Mahasiswa'!$N$1:$Q$14, MATCH(MID('Data Status Pendaftar'!B246, 5,2), 'Data Mahasiswa'!$N$1:$N$14,0),2)</f>
        <v>Ilmu Sosial</v>
      </c>
      <c r="G246" s="5" t="str" cm="1">
        <f t="array" ref="G246">INDEX('Data Mahasiswa'!$Q$2:$Q$14, MATCH(MID('Data Status Pendaftar'!B246,5,3), 'Data Mahasiswa'!$N$2:$N$14&amp;TEXT('Data Mahasiswa'!$P$2:$P$14,"0"), 0))</f>
        <v>Sosiologi</v>
      </c>
      <c r="H246" s="6">
        <f t="shared" ca="1" si="10"/>
        <v>2</v>
      </c>
      <c r="I246" s="7">
        <f>INDEX('Data Mahasiswa'!$A$1:$J$701, MATCH('Data Status Pendaftar'!B246, 'Data Mahasiswa'!$A$1:$A$701, 0), 10)</f>
        <v>3.3020833333333335</v>
      </c>
      <c r="J246" s="5" t="str" cm="1">
        <f t="array" ref="J246">INDEX('Data Mahasiswa'!B246:I246,MATCH(MIN(VLOOKUP('Data Mahasiswa'!B246:I246,'Data Mahasiswa'!$N$27:$O$36,2,0)),VLOOKUP('Data Mahasiswa'!B246:I246,'Data Mahasiswa'!$N$27:$O$36,2,0),0))</f>
        <v>C</v>
      </c>
      <c r="K246" s="5" t="str">
        <f t="shared" si="11"/>
        <v>Eligible</v>
      </c>
    </row>
    <row r="247" spans="1:11" x14ac:dyDescent="0.3">
      <c r="A247" s="8">
        <v>246</v>
      </c>
      <c r="B247" s="8" t="s">
        <v>297</v>
      </c>
      <c r="C247" s="8" t="s">
        <v>1015</v>
      </c>
      <c r="D247" s="8" t="s">
        <v>779</v>
      </c>
      <c r="E247" s="9">
        <f t="shared" si="9"/>
        <v>2025</v>
      </c>
      <c r="F247" s="8" t="str">
        <f>INDEX('Data Mahasiswa'!$N$1:$Q$14, MATCH(MID('Data Status Pendaftar'!B247, 5,2), 'Data Mahasiswa'!$N$1:$N$14,0),2)</f>
        <v>Ilmu Sosial</v>
      </c>
      <c r="G247" s="8" t="str" cm="1">
        <f t="array" ref="G247">INDEX('Data Mahasiswa'!$Q$2:$Q$14, MATCH(MID('Data Status Pendaftar'!B247,5,3), 'Data Mahasiswa'!$N$2:$N$14&amp;TEXT('Data Mahasiswa'!$P$2:$P$14,"0"), 0))</f>
        <v>Sosiologi</v>
      </c>
      <c r="H247" s="9">
        <f t="shared" ca="1" si="10"/>
        <v>2</v>
      </c>
      <c r="I247" s="10">
        <f>INDEX('Data Mahasiswa'!$A$1:$J$701, MATCH('Data Status Pendaftar'!B247, 'Data Mahasiswa'!$A$1:$A$701, 0), 10)</f>
        <v>2.375</v>
      </c>
      <c r="J247" s="8" t="str" cm="1">
        <f t="array" ref="J247">INDEX('Data Mahasiswa'!B247:I247,MATCH(MIN(VLOOKUP('Data Mahasiswa'!B247:I247,'Data Mahasiswa'!$N$27:$O$36,2,0)),VLOOKUP('Data Mahasiswa'!B247:I247,'Data Mahasiswa'!$N$27:$O$36,2,0),0))</f>
        <v>D</v>
      </c>
      <c r="K247" s="8" t="str">
        <f t="shared" si="11"/>
        <v>Tidak Eligible</v>
      </c>
    </row>
    <row r="248" spans="1:11" x14ac:dyDescent="0.3">
      <c r="A248" s="5">
        <v>247</v>
      </c>
      <c r="B248" s="5" t="s">
        <v>298</v>
      </c>
      <c r="C248" s="5" t="s">
        <v>1016</v>
      </c>
      <c r="D248" s="5" t="s">
        <v>780</v>
      </c>
      <c r="E248" s="6">
        <f t="shared" si="9"/>
        <v>2025</v>
      </c>
      <c r="F248" s="5" t="str">
        <f>INDEX('Data Mahasiswa'!$N$1:$Q$14, MATCH(MID('Data Status Pendaftar'!B248, 5,2), 'Data Mahasiswa'!$N$1:$N$14,0),2)</f>
        <v>Ilmu Sosial</v>
      </c>
      <c r="G248" s="5" t="str" cm="1">
        <f t="array" ref="G248">INDEX('Data Mahasiswa'!$Q$2:$Q$14, MATCH(MID('Data Status Pendaftar'!B248,5,3), 'Data Mahasiswa'!$N$2:$N$14&amp;TEXT('Data Mahasiswa'!$P$2:$P$14,"0"), 0))</f>
        <v>Sosiologi</v>
      </c>
      <c r="H248" s="6">
        <f t="shared" ca="1" si="10"/>
        <v>2</v>
      </c>
      <c r="I248" s="7">
        <f>INDEX('Data Mahasiswa'!$A$1:$J$701, MATCH('Data Status Pendaftar'!B248, 'Data Mahasiswa'!$A$1:$A$701, 0), 10)</f>
        <v>2.6875</v>
      </c>
      <c r="J248" s="5" t="str" cm="1">
        <f t="array" ref="J248">INDEX('Data Mahasiswa'!B248:I248,MATCH(MIN(VLOOKUP('Data Mahasiswa'!B248:I248,'Data Mahasiswa'!$N$27:$O$36,2,0)),VLOOKUP('Data Mahasiswa'!B248:I248,'Data Mahasiswa'!$N$27:$O$36,2,0),0))</f>
        <v>E</v>
      </c>
      <c r="K248" s="5" t="str">
        <f t="shared" si="11"/>
        <v>Tidak Eligible</v>
      </c>
    </row>
    <row r="249" spans="1:11" x14ac:dyDescent="0.3">
      <c r="A249" s="8">
        <v>248</v>
      </c>
      <c r="B249" s="8" t="s">
        <v>299</v>
      </c>
      <c r="C249" s="8" t="s">
        <v>1017</v>
      </c>
      <c r="D249" s="8" t="s">
        <v>780</v>
      </c>
      <c r="E249" s="9">
        <f t="shared" si="9"/>
        <v>2025</v>
      </c>
      <c r="F249" s="8" t="str">
        <f>INDEX('Data Mahasiswa'!$N$1:$Q$14, MATCH(MID('Data Status Pendaftar'!B249, 5,2), 'Data Mahasiswa'!$N$1:$N$14,0),2)</f>
        <v>Sains</v>
      </c>
      <c r="G249" s="8" t="str" cm="1">
        <f t="array" ref="G249">INDEX('Data Mahasiswa'!$Q$2:$Q$14, MATCH(MID('Data Status Pendaftar'!B249,5,3), 'Data Mahasiswa'!$N$2:$N$14&amp;TEXT('Data Mahasiswa'!$P$2:$P$14,"0"), 0))</f>
        <v>Matematika</v>
      </c>
      <c r="H249" s="9">
        <f t="shared" ca="1" si="10"/>
        <v>2</v>
      </c>
      <c r="I249" s="10">
        <f>INDEX('Data Mahasiswa'!$A$1:$J$701, MATCH('Data Status Pendaftar'!B249, 'Data Mahasiswa'!$A$1:$A$701, 0), 10)</f>
        <v>2.7604166666666665</v>
      </c>
      <c r="J249" s="8" t="str" cm="1">
        <f t="array" ref="J249">INDEX('Data Mahasiswa'!B249:I249,MATCH(MIN(VLOOKUP('Data Mahasiswa'!B249:I249,'Data Mahasiswa'!$N$27:$O$36,2,0)),VLOOKUP('Data Mahasiswa'!B249:I249,'Data Mahasiswa'!$N$27:$O$36,2,0),0))</f>
        <v>D</v>
      </c>
      <c r="K249" s="8" t="str">
        <f t="shared" si="11"/>
        <v>Tidak Eligible</v>
      </c>
    </row>
    <row r="250" spans="1:11" x14ac:dyDescent="0.3">
      <c r="A250" s="5">
        <v>249</v>
      </c>
      <c r="B250" s="5" t="s">
        <v>300</v>
      </c>
      <c r="C250" s="5" t="s">
        <v>1018</v>
      </c>
      <c r="D250" s="5" t="s">
        <v>779</v>
      </c>
      <c r="E250" s="6">
        <f t="shared" si="9"/>
        <v>2025</v>
      </c>
      <c r="F250" s="5" t="str">
        <f>INDEX('Data Mahasiswa'!$N$1:$Q$14, MATCH(MID('Data Status Pendaftar'!B250, 5,2), 'Data Mahasiswa'!$N$1:$N$14,0),2)</f>
        <v>Sains</v>
      </c>
      <c r="G250" s="5" t="str" cm="1">
        <f t="array" ref="G250">INDEX('Data Mahasiswa'!$Q$2:$Q$14, MATCH(MID('Data Status Pendaftar'!B250,5,3), 'Data Mahasiswa'!$N$2:$N$14&amp;TEXT('Data Mahasiswa'!$P$2:$P$14,"0"), 0))</f>
        <v>Matematika</v>
      </c>
      <c r="H250" s="6">
        <f t="shared" ca="1" si="10"/>
        <v>2</v>
      </c>
      <c r="I250" s="7">
        <f>INDEX('Data Mahasiswa'!$A$1:$J$701, MATCH('Data Status Pendaftar'!B250, 'Data Mahasiswa'!$A$1:$A$701, 0), 10)</f>
        <v>3.5</v>
      </c>
      <c r="J250" s="5" t="str" cm="1">
        <f t="array" ref="J250">INDEX('Data Mahasiswa'!B250:I250,MATCH(MIN(VLOOKUP('Data Mahasiswa'!B250:I250,'Data Mahasiswa'!$N$27:$O$36,2,0)),VLOOKUP('Data Mahasiswa'!B250:I250,'Data Mahasiswa'!$N$27:$O$36,2,0),0))</f>
        <v>B-</v>
      </c>
      <c r="K250" s="5" t="str">
        <f t="shared" si="11"/>
        <v>Eligible</v>
      </c>
    </row>
    <row r="251" spans="1:11" x14ac:dyDescent="0.3">
      <c r="A251" s="8">
        <v>250</v>
      </c>
      <c r="B251" s="8" t="s">
        <v>301</v>
      </c>
      <c r="C251" s="8" t="s">
        <v>1019</v>
      </c>
      <c r="D251" s="8" t="s">
        <v>779</v>
      </c>
      <c r="E251" s="9">
        <f t="shared" si="9"/>
        <v>2025</v>
      </c>
      <c r="F251" s="8" t="str">
        <f>INDEX('Data Mahasiswa'!$N$1:$Q$14, MATCH(MID('Data Status Pendaftar'!B251, 5,2), 'Data Mahasiswa'!$N$1:$N$14,0),2)</f>
        <v>Sains</v>
      </c>
      <c r="G251" s="8" t="str" cm="1">
        <f t="array" ref="G251">INDEX('Data Mahasiswa'!$Q$2:$Q$14, MATCH(MID('Data Status Pendaftar'!B251,5,3), 'Data Mahasiswa'!$N$2:$N$14&amp;TEXT('Data Mahasiswa'!$P$2:$P$14,"0"), 0))</f>
        <v>Matematika</v>
      </c>
      <c r="H251" s="9">
        <f t="shared" ca="1" si="10"/>
        <v>2</v>
      </c>
      <c r="I251" s="10">
        <f>INDEX('Data Mahasiswa'!$A$1:$J$701, MATCH('Data Status Pendaftar'!B251, 'Data Mahasiswa'!$A$1:$A$701, 0), 10)</f>
        <v>2.3020833333333335</v>
      </c>
      <c r="J251" s="8" t="str" cm="1">
        <f t="array" ref="J251">INDEX('Data Mahasiswa'!B251:I251,MATCH(MIN(VLOOKUP('Data Mahasiswa'!B251:I251,'Data Mahasiswa'!$N$27:$O$36,2,0)),VLOOKUP('Data Mahasiswa'!B251:I251,'Data Mahasiswa'!$N$27:$O$36,2,0),0))</f>
        <v>D</v>
      </c>
      <c r="K251" s="8" t="str">
        <f t="shared" si="11"/>
        <v>Tidak Eligible</v>
      </c>
    </row>
    <row r="252" spans="1:11" x14ac:dyDescent="0.3">
      <c r="A252" s="5">
        <v>251</v>
      </c>
      <c r="B252" s="5" t="s">
        <v>302</v>
      </c>
      <c r="C252" s="5" t="s">
        <v>1020</v>
      </c>
      <c r="D252" s="5" t="s">
        <v>780</v>
      </c>
      <c r="E252" s="6">
        <f t="shared" si="9"/>
        <v>2025</v>
      </c>
      <c r="F252" s="5" t="str">
        <f>INDEX('Data Mahasiswa'!$N$1:$Q$14, MATCH(MID('Data Status Pendaftar'!B252, 5,2), 'Data Mahasiswa'!$N$1:$N$14,0),2)</f>
        <v>Sains</v>
      </c>
      <c r="G252" s="5" t="str" cm="1">
        <f t="array" ref="G252">INDEX('Data Mahasiswa'!$Q$2:$Q$14, MATCH(MID('Data Status Pendaftar'!B252,5,3), 'Data Mahasiswa'!$N$2:$N$14&amp;TEXT('Data Mahasiswa'!$P$2:$P$14,"0"), 0))</f>
        <v>Matematika</v>
      </c>
      <c r="H252" s="6">
        <f t="shared" ca="1" si="10"/>
        <v>2</v>
      </c>
      <c r="I252" s="7">
        <f>INDEX('Data Mahasiswa'!$A$1:$J$701, MATCH('Data Status Pendaftar'!B252, 'Data Mahasiswa'!$A$1:$A$701, 0), 10)</f>
        <v>3.1979166666666665</v>
      </c>
      <c r="J252" s="5" t="str" cm="1">
        <f t="array" ref="J252">INDEX('Data Mahasiswa'!B252:I252,MATCH(MIN(VLOOKUP('Data Mahasiswa'!B252:I252,'Data Mahasiswa'!$N$27:$O$36,2,0)),VLOOKUP('Data Mahasiswa'!B252:I252,'Data Mahasiswa'!$N$27:$O$36,2,0),0))</f>
        <v>C</v>
      </c>
      <c r="K252" s="5" t="str">
        <f t="shared" si="11"/>
        <v>Eligible</v>
      </c>
    </row>
    <row r="253" spans="1:11" x14ac:dyDescent="0.3">
      <c r="A253" s="8">
        <v>252</v>
      </c>
      <c r="B253" s="8" t="s">
        <v>303</v>
      </c>
      <c r="C253" s="8" t="s">
        <v>1021</v>
      </c>
      <c r="D253" s="8" t="s">
        <v>780</v>
      </c>
      <c r="E253" s="9">
        <f t="shared" si="9"/>
        <v>2025</v>
      </c>
      <c r="F253" s="8" t="str">
        <f>INDEX('Data Mahasiswa'!$N$1:$Q$14, MATCH(MID('Data Status Pendaftar'!B253, 5,2), 'Data Mahasiswa'!$N$1:$N$14,0),2)</f>
        <v>Sains</v>
      </c>
      <c r="G253" s="8" t="str" cm="1">
        <f t="array" ref="G253">INDEX('Data Mahasiswa'!$Q$2:$Q$14, MATCH(MID('Data Status Pendaftar'!B253,5,3), 'Data Mahasiswa'!$N$2:$N$14&amp;TEXT('Data Mahasiswa'!$P$2:$P$14,"0"), 0))</f>
        <v>Matematika</v>
      </c>
      <c r="H253" s="9">
        <f t="shared" ca="1" si="10"/>
        <v>2</v>
      </c>
      <c r="I253" s="10">
        <f>INDEX('Data Mahasiswa'!$A$1:$J$701, MATCH('Data Status Pendaftar'!B253, 'Data Mahasiswa'!$A$1:$A$701, 0), 10)</f>
        <v>3.15625</v>
      </c>
      <c r="J253" s="8" t="str" cm="1">
        <f t="array" ref="J253">INDEX('Data Mahasiswa'!B253:I253,MATCH(MIN(VLOOKUP('Data Mahasiswa'!B253:I253,'Data Mahasiswa'!$N$27:$O$36,2,0)),VLOOKUP('Data Mahasiswa'!B253:I253,'Data Mahasiswa'!$N$27:$O$36,2,0),0))</f>
        <v>D</v>
      </c>
      <c r="K253" s="8" t="str">
        <f t="shared" si="11"/>
        <v>Tidak Eligible</v>
      </c>
    </row>
    <row r="254" spans="1:11" x14ac:dyDescent="0.3">
      <c r="A254" s="5">
        <v>253</v>
      </c>
      <c r="B254" s="5" t="s">
        <v>304</v>
      </c>
      <c r="C254" s="5" t="s">
        <v>1022</v>
      </c>
      <c r="D254" s="5" t="s">
        <v>779</v>
      </c>
      <c r="E254" s="6">
        <f t="shared" si="9"/>
        <v>2025</v>
      </c>
      <c r="F254" s="5" t="str">
        <f>INDEX('Data Mahasiswa'!$N$1:$Q$14, MATCH(MID('Data Status Pendaftar'!B254, 5,2), 'Data Mahasiswa'!$N$1:$N$14,0),2)</f>
        <v>Sains</v>
      </c>
      <c r="G254" s="5" t="str" cm="1">
        <f t="array" ref="G254">INDEX('Data Mahasiswa'!$Q$2:$Q$14, MATCH(MID('Data Status Pendaftar'!B254,5,3), 'Data Mahasiswa'!$N$2:$N$14&amp;TEXT('Data Mahasiswa'!$P$2:$P$14,"0"), 0))</f>
        <v>Matematika</v>
      </c>
      <c r="H254" s="6">
        <f t="shared" ca="1" si="10"/>
        <v>2</v>
      </c>
      <c r="I254" s="7">
        <f>INDEX('Data Mahasiswa'!$A$1:$J$701, MATCH('Data Status Pendaftar'!B254, 'Data Mahasiswa'!$A$1:$A$701, 0), 10)</f>
        <v>3.1041666666666665</v>
      </c>
      <c r="J254" s="5" t="str" cm="1">
        <f t="array" ref="J254">INDEX('Data Mahasiswa'!B254:I254,MATCH(MIN(VLOOKUP('Data Mahasiswa'!B254:I254,'Data Mahasiswa'!$N$27:$O$36,2,0)),VLOOKUP('Data Mahasiswa'!B254:I254,'Data Mahasiswa'!$N$27:$O$36,2,0),0))</f>
        <v>D</v>
      </c>
      <c r="K254" s="5" t="str">
        <f t="shared" si="11"/>
        <v>Tidak Eligible</v>
      </c>
    </row>
    <row r="255" spans="1:11" x14ac:dyDescent="0.3">
      <c r="A255" s="8">
        <v>254</v>
      </c>
      <c r="B255" s="8" t="s">
        <v>305</v>
      </c>
      <c r="C255" s="8" t="s">
        <v>1023</v>
      </c>
      <c r="D255" s="8" t="s">
        <v>779</v>
      </c>
      <c r="E255" s="9">
        <f t="shared" si="9"/>
        <v>2025</v>
      </c>
      <c r="F255" s="8" t="str">
        <f>INDEX('Data Mahasiswa'!$N$1:$Q$14, MATCH(MID('Data Status Pendaftar'!B255, 5,2), 'Data Mahasiswa'!$N$1:$N$14,0),2)</f>
        <v>Sains</v>
      </c>
      <c r="G255" s="8" t="str" cm="1">
        <f t="array" ref="G255">INDEX('Data Mahasiswa'!$Q$2:$Q$14, MATCH(MID('Data Status Pendaftar'!B255,5,3), 'Data Mahasiswa'!$N$2:$N$14&amp;TEXT('Data Mahasiswa'!$P$2:$P$14,"0"), 0))</f>
        <v>Matematika</v>
      </c>
      <c r="H255" s="9">
        <f t="shared" ca="1" si="10"/>
        <v>2</v>
      </c>
      <c r="I255" s="10">
        <f>INDEX('Data Mahasiswa'!$A$1:$J$701, MATCH('Data Status Pendaftar'!B255, 'Data Mahasiswa'!$A$1:$A$701, 0), 10)</f>
        <v>3.3854166666666665</v>
      </c>
      <c r="J255" s="8" t="str" cm="1">
        <f t="array" ref="J255">INDEX('Data Mahasiswa'!B255:I255,MATCH(MIN(VLOOKUP('Data Mahasiswa'!B255:I255,'Data Mahasiswa'!$N$27:$O$36,2,0)),VLOOKUP('Data Mahasiswa'!B255:I255,'Data Mahasiswa'!$N$27:$O$36,2,0),0))</f>
        <v>C+</v>
      </c>
      <c r="K255" s="8" t="str">
        <f t="shared" si="11"/>
        <v>Eligible</v>
      </c>
    </row>
    <row r="256" spans="1:11" x14ac:dyDescent="0.3">
      <c r="A256" s="5">
        <v>255</v>
      </c>
      <c r="B256" s="5" t="s">
        <v>306</v>
      </c>
      <c r="C256" s="5" t="s">
        <v>1024</v>
      </c>
      <c r="D256" s="5" t="s">
        <v>780</v>
      </c>
      <c r="E256" s="6">
        <f t="shared" si="9"/>
        <v>2025</v>
      </c>
      <c r="F256" s="5" t="str">
        <f>INDEX('Data Mahasiswa'!$N$1:$Q$14, MATCH(MID('Data Status Pendaftar'!B256, 5,2), 'Data Mahasiswa'!$N$1:$N$14,0),2)</f>
        <v>Sains</v>
      </c>
      <c r="G256" s="5" t="str" cm="1">
        <f t="array" ref="G256">INDEX('Data Mahasiswa'!$Q$2:$Q$14, MATCH(MID('Data Status Pendaftar'!B256,5,3), 'Data Mahasiswa'!$N$2:$N$14&amp;TEXT('Data Mahasiswa'!$P$2:$P$14,"0"), 0))</f>
        <v>Matematika</v>
      </c>
      <c r="H256" s="6">
        <f t="shared" ca="1" si="10"/>
        <v>2</v>
      </c>
      <c r="I256" s="7">
        <f>INDEX('Data Mahasiswa'!$A$1:$J$701, MATCH('Data Status Pendaftar'!B256, 'Data Mahasiswa'!$A$1:$A$701, 0), 10)</f>
        <v>2.9895833333333335</v>
      </c>
      <c r="J256" s="5" t="str" cm="1">
        <f t="array" ref="J256">INDEX('Data Mahasiswa'!B256:I256,MATCH(MIN(VLOOKUP('Data Mahasiswa'!B256:I256,'Data Mahasiswa'!$N$27:$O$36,2,0)),VLOOKUP('Data Mahasiswa'!B256:I256,'Data Mahasiswa'!$N$27:$O$36,2,0),0))</f>
        <v>B-</v>
      </c>
      <c r="K256" s="5" t="str">
        <f t="shared" si="11"/>
        <v>Eligible</v>
      </c>
    </row>
    <row r="257" spans="1:11" x14ac:dyDescent="0.3">
      <c r="A257" s="8">
        <v>256</v>
      </c>
      <c r="B257" s="8" t="s">
        <v>307</v>
      </c>
      <c r="C257" s="8" t="s">
        <v>1025</v>
      </c>
      <c r="D257" s="8" t="s">
        <v>779</v>
      </c>
      <c r="E257" s="9">
        <f t="shared" si="9"/>
        <v>2025</v>
      </c>
      <c r="F257" s="8" t="str">
        <f>INDEX('Data Mahasiswa'!$N$1:$Q$14, MATCH(MID('Data Status Pendaftar'!B257, 5,2), 'Data Mahasiswa'!$N$1:$N$14,0),2)</f>
        <v>Sains</v>
      </c>
      <c r="G257" s="8" t="str" cm="1">
        <f t="array" ref="G257">INDEX('Data Mahasiswa'!$Q$2:$Q$14, MATCH(MID('Data Status Pendaftar'!B257,5,3), 'Data Mahasiswa'!$N$2:$N$14&amp;TEXT('Data Mahasiswa'!$P$2:$P$14,"0"), 0))</f>
        <v>Matematika</v>
      </c>
      <c r="H257" s="9">
        <f t="shared" ca="1" si="10"/>
        <v>2</v>
      </c>
      <c r="I257" s="10">
        <f>INDEX('Data Mahasiswa'!$A$1:$J$701, MATCH('Data Status Pendaftar'!B257, 'Data Mahasiswa'!$A$1:$A$701, 0), 10)</f>
        <v>3.5208333333333335</v>
      </c>
      <c r="J257" s="8" t="str" cm="1">
        <f t="array" ref="J257">INDEX('Data Mahasiswa'!B257:I257,MATCH(MIN(VLOOKUP('Data Mahasiswa'!B257:I257,'Data Mahasiswa'!$N$27:$O$36,2,0)),VLOOKUP('Data Mahasiswa'!B257:I257,'Data Mahasiswa'!$N$27:$O$36,2,0),0))</f>
        <v>B</v>
      </c>
      <c r="K257" s="8" t="str">
        <f t="shared" si="11"/>
        <v>Eligible</v>
      </c>
    </row>
    <row r="258" spans="1:11" x14ac:dyDescent="0.3">
      <c r="A258" s="5">
        <v>257</v>
      </c>
      <c r="B258" s="5" t="s">
        <v>308</v>
      </c>
      <c r="C258" s="5" t="s">
        <v>1026</v>
      </c>
      <c r="D258" s="5" t="s">
        <v>779</v>
      </c>
      <c r="E258" s="6">
        <f t="shared" si="9"/>
        <v>2025</v>
      </c>
      <c r="F258" s="5" t="str">
        <f>INDEX('Data Mahasiswa'!$N$1:$Q$14, MATCH(MID('Data Status Pendaftar'!B258, 5,2), 'Data Mahasiswa'!$N$1:$N$14,0),2)</f>
        <v>Sains</v>
      </c>
      <c r="G258" s="5" t="str" cm="1">
        <f t="array" ref="G258">INDEX('Data Mahasiswa'!$Q$2:$Q$14, MATCH(MID('Data Status Pendaftar'!B258,5,3), 'Data Mahasiswa'!$N$2:$N$14&amp;TEXT('Data Mahasiswa'!$P$2:$P$14,"0"), 0))</f>
        <v>Matematika</v>
      </c>
      <c r="H258" s="6">
        <f t="shared" ca="1" si="10"/>
        <v>2</v>
      </c>
      <c r="I258" s="7">
        <f>INDEX('Data Mahasiswa'!$A$1:$J$701, MATCH('Data Status Pendaftar'!B258, 'Data Mahasiswa'!$A$1:$A$701, 0), 10)</f>
        <v>2.78125</v>
      </c>
      <c r="J258" s="5" t="str" cm="1">
        <f t="array" ref="J258">INDEX('Data Mahasiswa'!B258:I258,MATCH(MIN(VLOOKUP('Data Mahasiswa'!B258:I258,'Data Mahasiswa'!$N$27:$O$36,2,0)),VLOOKUP('Data Mahasiswa'!B258:I258,'Data Mahasiswa'!$N$27:$O$36,2,0),0))</f>
        <v>E</v>
      </c>
      <c r="K258" s="5" t="str">
        <f t="shared" si="11"/>
        <v>Tidak Eligible</v>
      </c>
    </row>
    <row r="259" spans="1:11" x14ac:dyDescent="0.3">
      <c r="A259" s="8">
        <v>258</v>
      </c>
      <c r="B259" s="8" t="s">
        <v>309</v>
      </c>
      <c r="C259" s="8" t="s">
        <v>1027</v>
      </c>
      <c r="D259" s="8" t="s">
        <v>779</v>
      </c>
      <c r="E259" s="9">
        <f t="shared" ref="E259:E322" si="12">LEFT(B259,2)+2000</f>
        <v>2025</v>
      </c>
      <c r="F259" s="8" t="str">
        <f>INDEX('Data Mahasiswa'!$N$1:$Q$14, MATCH(MID('Data Status Pendaftar'!B259, 5,2), 'Data Mahasiswa'!$N$1:$N$14,0),2)</f>
        <v>Sains</v>
      </c>
      <c r="G259" s="8" t="str" cm="1">
        <f t="array" ref="G259">INDEX('Data Mahasiswa'!$Q$2:$Q$14, MATCH(MID('Data Status Pendaftar'!B259,5,3), 'Data Mahasiswa'!$N$2:$N$14&amp;TEXT('Data Mahasiswa'!$P$2:$P$14,"0"), 0))</f>
        <v>Matematika</v>
      </c>
      <c r="H259" s="9">
        <f t="shared" ref="H259:H322" ca="1" si="13">(YEAR(TODAY())-E259)*2</f>
        <v>2</v>
      </c>
      <c r="I259" s="10">
        <f>INDEX('Data Mahasiswa'!$A$1:$J$701, MATCH('Data Status Pendaftar'!B259, 'Data Mahasiswa'!$A$1:$A$701, 0), 10)</f>
        <v>3.4166666666666665</v>
      </c>
      <c r="J259" s="8" t="str" cm="1">
        <f t="array" ref="J259">INDEX('Data Mahasiswa'!B259:I259,MATCH(MIN(VLOOKUP('Data Mahasiswa'!B259:I259,'Data Mahasiswa'!$N$27:$O$36,2,0)),VLOOKUP('Data Mahasiswa'!B259:I259,'Data Mahasiswa'!$N$27:$O$36,2,0),0))</f>
        <v>C</v>
      </c>
      <c r="K259" s="8" t="str">
        <f t="shared" ref="K259:K322" si="14">IF(AND(E259=2025,I259&gt;=2.75,OR(J259="A",J259="A-",J259="B+",J259="B",J259="B-",J259="C+",J259="C",J259="C-")),"Eligible","Tidak Eligible")</f>
        <v>Eligible</v>
      </c>
    </row>
    <row r="260" spans="1:11" x14ac:dyDescent="0.3">
      <c r="A260" s="5">
        <v>259</v>
      </c>
      <c r="B260" s="5" t="s">
        <v>310</v>
      </c>
      <c r="C260" s="5" t="s">
        <v>1028</v>
      </c>
      <c r="D260" s="5" t="s">
        <v>779</v>
      </c>
      <c r="E260" s="6">
        <f t="shared" si="12"/>
        <v>2025</v>
      </c>
      <c r="F260" s="5" t="str">
        <f>INDEX('Data Mahasiswa'!$N$1:$Q$14, MATCH(MID('Data Status Pendaftar'!B260, 5,2), 'Data Mahasiswa'!$N$1:$N$14,0),2)</f>
        <v>Sains</v>
      </c>
      <c r="G260" s="5" t="str" cm="1">
        <f t="array" ref="G260">INDEX('Data Mahasiswa'!$Q$2:$Q$14, MATCH(MID('Data Status Pendaftar'!B260,5,3), 'Data Mahasiswa'!$N$2:$N$14&amp;TEXT('Data Mahasiswa'!$P$2:$P$14,"0"), 0))</f>
        <v>Matematika</v>
      </c>
      <c r="H260" s="6">
        <f t="shared" ca="1" si="13"/>
        <v>2</v>
      </c>
      <c r="I260" s="7">
        <f>INDEX('Data Mahasiswa'!$A$1:$J$701, MATCH('Data Status Pendaftar'!B260, 'Data Mahasiswa'!$A$1:$A$701, 0), 10)</f>
        <v>3.21875</v>
      </c>
      <c r="J260" s="5" t="str" cm="1">
        <f t="array" ref="J260">INDEX('Data Mahasiswa'!B260:I260,MATCH(MIN(VLOOKUP('Data Mahasiswa'!B260:I260,'Data Mahasiswa'!$N$27:$O$36,2,0)),VLOOKUP('Data Mahasiswa'!B260:I260,'Data Mahasiswa'!$N$27:$O$36,2,0),0))</f>
        <v>D</v>
      </c>
      <c r="K260" s="5" t="str">
        <f t="shared" si="14"/>
        <v>Tidak Eligible</v>
      </c>
    </row>
    <row r="261" spans="1:11" x14ac:dyDescent="0.3">
      <c r="A261" s="8">
        <v>260</v>
      </c>
      <c r="B261" s="8" t="s">
        <v>311</v>
      </c>
      <c r="C261" s="8" t="s">
        <v>785</v>
      </c>
      <c r="D261" s="8" t="s">
        <v>779</v>
      </c>
      <c r="E261" s="9">
        <f t="shared" si="12"/>
        <v>2025</v>
      </c>
      <c r="F261" s="8" t="str">
        <f>INDEX('Data Mahasiswa'!$N$1:$Q$14, MATCH(MID('Data Status Pendaftar'!B261, 5,2), 'Data Mahasiswa'!$N$1:$N$14,0),2)</f>
        <v>Sains</v>
      </c>
      <c r="G261" s="8" t="str" cm="1">
        <f t="array" ref="G261">INDEX('Data Mahasiswa'!$Q$2:$Q$14, MATCH(MID('Data Status Pendaftar'!B261,5,3), 'Data Mahasiswa'!$N$2:$N$14&amp;TEXT('Data Mahasiswa'!$P$2:$P$14,"0"), 0))</f>
        <v>Matematika</v>
      </c>
      <c r="H261" s="9">
        <f t="shared" ca="1" si="13"/>
        <v>2</v>
      </c>
      <c r="I261" s="10">
        <f>INDEX('Data Mahasiswa'!$A$1:$J$701, MATCH('Data Status Pendaftar'!B261, 'Data Mahasiswa'!$A$1:$A$701, 0), 10)</f>
        <v>2.7708333333333335</v>
      </c>
      <c r="J261" s="8" t="str" cm="1">
        <f t="array" ref="J261">INDEX('Data Mahasiswa'!B261:I261,MATCH(MIN(VLOOKUP('Data Mahasiswa'!B261:I261,'Data Mahasiswa'!$N$27:$O$36,2,0)),VLOOKUP('Data Mahasiswa'!B261:I261,'Data Mahasiswa'!$N$27:$O$36,2,0),0))</f>
        <v>C+</v>
      </c>
      <c r="K261" s="8" t="str">
        <f t="shared" si="14"/>
        <v>Eligible</v>
      </c>
    </row>
    <row r="262" spans="1:11" x14ac:dyDescent="0.3">
      <c r="A262" s="5">
        <v>261</v>
      </c>
      <c r="B262" s="5" t="s">
        <v>312</v>
      </c>
      <c r="C262" s="5" t="s">
        <v>1029</v>
      </c>
      <c r="D262" s="5" t="s">
        <v>779</v>
      </c>
      <c r="E262" s="6">
        <f t="shared" si="12"/>
        <v>2025</v>
      </c>
      <c r="F262" s="5" t="str">
        <f>INDEX('Data Mahasiswa'!$N$1:$Q$14, MATCH(MID('Data Status Pendaftar'!B262, 5,2), 'Data Mahasiswa'!$N$1:$N$14,0),2)</f>
        <v>Sains</v>
      </c>
      <c r="G262" s="5" t="str" cm="1">
        <f t="array" ref="G262">INDEX('Data Mahasiswa'!$Q$2:$Q$14, MATCH(MID('Data Status Pendaftar'!B262,5,3), 'Data Mahasiswa'!$N$2:$N$14&amp;TEXT('Data Mahasiswa'!$P$2:$P$14,"0"), 0))</f>
        <v>Matematika</v>
      </c>
      <c r="H262" s="6">
        <f t="shared" ca="1" si="13"/>
        <v>2</v>
      </c>
      <c r="I262" s="7">
        <f>INDEX('Data Mahasiswa'!$A$1:$J$701, MATCH('Data Status Pendaftar'!B262, 'Data Mahasiswa'!$A$1:$A$701, 0), 10)</f>
        <v>2.8541666666666665</v>
      </c>
      <c r="J262" s="5" t="str" cm="1">
        <f t="array" ref="J262">INDEX('Data Mahasiswa'!B262:I262,MATCH(MIN(VLOOKUP('Data Mahasiswa'!B262:I262,'Data Mahasiswa'!$N$27:$O$36,2,0)),VLOOKUP('Data Mahasiswa'!B262:I262,'Data Mahasiswa'!$N$27:$O$36,2,0),0))</f>
        <v>C</v>
      </c>
      <c r="K262" s="5" t="str">
        <f t="shared" si="14"/>
        <v>Eligible</v>
      </c>
    </row>
    <row r="263" spans="1:11" x14ac:dyDescent="0.3">
      <c r="A263" s="8">
        <v>262</v>
      </c>
      <c r="B263" s="8" t="s">
        <v>313</v>
      </c>
      <c r="C263" s="8" t="s">
        <v>1030</v>
      </c>
      <c r="D263" s="8" t="s">
        <v>780</v>
      </c>
      <c r="E263" s="9">
        <f t="shared" si="12"/>
        <v>2025</v>
      </c>
      <c r="F263" s="8" t="str">
        <f>INDEX('Data Mahasiswa'!$N$1:$Q$14, MATCH(MID('Data Status Pendaftar'!B263, 5,2), 'Data Mahasiswa'!$N$1:$N$14,0),2)</f>
        <v>Sains</v>
      </c>
      <c r="G263" s="8" t="str" cm="1">
        <f t="array" ref="G263">INDEX('Data Mahasiswa'!$Q$2:$Q$14, MATCH(MID('Data Status Pendaftar'!B263,5,3), 'Data Mahasiswa'!$N$2:$N$14&amp;TEXT('Data Mahasiswa'!$P$2:$P$14,"0"), 0))</f>
        <v>Matematika</v>
      </c>
      <c r="H263" s="9">
        <f t="shared" ca="1" si="13"/>
        <v>2</v>
      </c>
      <c r="I263" s="10">
        <f>INDEX('Data Mahasiswa'!$A$1:$J$701, MATCH('Data Status Pendaftar'!B263, 'Data Mahasiswa'!$A$1:$A$701, 0), 10)</f>
        <v>2.6875</v>
      </c>
      <c r="J263" s="8" t="str" cm="1">
        <f t="array" ref="J263">INDEX('Data Mahasiswa'!B263:I263,MATCH(MIN(VLOOKUP('Data Mahasiswa'!B263:I263,'Data Mahasiswa'!$N$27:$O$36,2,0)),VLOOKUP('Data Mahasiswa'!B263:I263,'Data Mahasiswa'!$N$27:$O$36,2,0),0))</f>
        <v>D</v>
      </c>
      <c r="K263" s="8" t="str">
        <f t="shared" si="14"/>
        <v>Tidak Eligible</v>
      </c>
    </row>
    <row r="264" spans="1:11" x14ac:dyDescent="0.3">
      <c r="A264" s="5">
        <v>263</v>
      </c>
      <c r="B264" s="5" t="s">
        <v>314</v>
      </c>
      <c r="C264" s="5" t="s">
        <v>1031</v>
      </c>
      <c r="D264" s="5" t="s">
        <v>780</v>
      </c>
      <c r="E264" s="6">
        <f t="shared" si="12"/>
        <v>2025</v>
      </c>
      <c r="F264" s="5" t="str">
        <f>INDEX('Data Mahasiswa'!$N$1:$Q$14, MATCH(MID('Data Status Pendaftar'!B264, 5,2), 'Data Mahasiswa'!$N$1:$N$14,0),2)</f>
        <v>Sains</v>
      </c>
      <c r="G264" s="5" t="str" cm="1">
        <f t="array" ref="G264">INDEX('Data Mahasiswa'!$Q$2:$Q$14, MATCH(MID('Data Status Pendaftar'!B264,5,3), 'Data Mahasiswa'!$N$2:$N$14&amp;TEXT('Data Mahasiswa'!$P$2:$P$14,"0"), 0))</f>
        <v>Matematika</v>
      </c>
      <c r="H264" s="6">
        <f t="shared" ca="1" si="13"/>
        <v>2</v>
      </c>
      <c r="I264" s="7">
        <f>INDEX('Data Mahasiswa'!$A$1:$J$701, MATCH('Data Status Pendaftar'!B264, 'Data Mahasiswa'!$A$1:$A$701, 0), 10)</f>
        <v>3.2604166666666665</v>
      </c>
      <c r="J264" s="5" t="str" cm="1">
        <f t="array" ref="J264">INDEX('Data Mahasiswa'!B264:I264,MATCH(MIN(VLOOKUP('Data Mahasiswa'!B264:I264,'Data Mahasiswa'!$N$27:$O$36,2,0)),VLOOKUP('Data Mahasiswa'!B264:I264,'Data Mahasiswa'!$N$27:$O$36,2,0),0))</f>
        <v>B-</v>
      </c>
      <c r="K264" s="5" t="str">
        <f t="shared" si="14"/>
        <v>Eligible</v>
      </c>
    </row>
    <row r="265" spans="1:11" x14ac:dyDescent="0.3">
      <c r="A265" s="8">
        <v>264</v>
      </c>
      <c r="B265" s="8" t="s">
        <v>315</v>
      </c>
      <c r="C265" s="8" t="s">
        <v>1032</v>
      </c>
      <c r="D265" s="8" t="s">
        <v>779</v>
      </c>
      <c r="E265" s="9">
        <f t="shared" si="12"/>
        <v>2025</v>
      </c>
      <c r="F265" s="8" t="str">
        <f>INDEX('Data Mahasiswa'!$N$1:$Q$14, MATCH(MID('Data Status Pendaftar'!B265, 5,2), 'Data Mahasiswa'!$N$1:$N$14,0),2)</f>
        <v>Sains</v>
      </c>
      <c r="G265" s="8" t="str" cm="1">
        <f t="array" ref="G265">INDEX('Data Mahasiswa'!$Q$2:$Q$14, MATCH(MID('Data Status Pendaftar'!B265,5,3), 'Data Mahasiswa'!$N$2:$N$14&amp;TEXT('Data Mahasiswa'!$P$2:$P$14,"0"), 0))</f>
        <v>Matematika</v>
      </c>
      <c r="H265" s="9">
        <f t="shared" ca="1" si="13"/>
        <v>2</v>
      </c>
      <c r="I265" s="10">
        <f>INDEX('Data Mahasiswa'!$A$1:$J$701, MATCH('Data Status Pendaftar'!B265, 'Data Mahasiswa'!$A$1:$A$701, 0), 10)</f>
        <v>3.125</v>
      </c>
      <c r="J265" s="8" t="str" cm="1">
        <f t="array" ref="J265">INDEX('Data Mahasiswa'!B265:I265,MATCH(MIN(VLOOKUP('Data Mahasiswa'!B265:I265,'Data Mahasiswa'!$N$27:$O$36,2,0)),VLOOKUP('Data Mahasiswa'!B265:I265,'Data Mahasiswa'!$N$27:$O$36,2,0),0))</f>
        <v>C+</v>
      </c>
      <c r="K265" s="8" t="str">
        <f t="shared" si="14"/>
        <v>Eligible</v>
      </c>
    </row>
    <row r="266" spans="1:11" x14ac:dyDescent="0.3">
      <c r="A266" s="5">
        <v>265</v>
      </c>
      <c r="B266" s="5" t="s">
        <v>316</v>
      </c>
      <c r="C266" s="5" t="s">
        <v>1033</v>
      </c>
      <c r="D266" s="5" t="s">
        <v>779</v>
      </c>
      <c r="E266" s="6">
        <f t="shared" si="12"/>
        <v>2025</v>
      </c>
      <c r="F266" s="5" t="str">
        <f>INDEX('Data Mahasiswa'!$N$1:$Q$14, MATCH(MID('Data Status Pendaftar'!B266, 5,2), 'Data Mahasiswa'!$N$1:$N$14,0),2)</f>
        <v>Sains</v>
      </c>
      <c r="G266" s="5" t="str" cm="1">
        <f t="array" ref="G266">INDEX('Data Mahasiswa'!$Q$2:$Q$14, MATCH(MID('Data Status Pendaftar'!B266,5,3), 'Data Mahasiswa'!$N$2:$N$14&amp;TEXT('Data Mahasiswa'!$P$2:$P$14,"0"), 0))</f>
        <v>Statistika</v>
      </c>
      <c r="H266" s="6">
        <f t="shared" ca="1" si="13"/>
        <v>2</v>
      </c>
      <c r="I266" s="7">
        <f>INDEX('Data Mahasiswa'!$A$1:$J$701, MATCH('Data Status Pendaftar'!B266, 'Data Mahasiswa'!$A$1:$A$701, 0), 10)</f>
        <v>2.9375</v>
      </c>
      <c r="J266" s="5" t="str" cm="1">
        <f t="array" ref="J266">INDEX('Data Mahasiswa'!B266:I266,MATCH(MIN(VLOOKUP('Data Mahasiswa'!B266:I266,'Data Mahasiswa'!$N$27:$O$36,2,0)),VLOOKUP('Data Mahasiswa'!B266:I266,'Data Mahasiswa'!$N$27:$O$36,2,0),0))</f>
        <v>D</v>
      </c>
      <c r="K266" s="5" t="str">
        <f t="shared" si="14"/>
        <v>Tidak Eligible</v>
      </c>
    </row>
    <row r="267" spans="1:11" x14ac:dyDescent="0.3">
      <c r="A267" s="8">
        <v>266</v>
      </c>
      <c r="B267" s="8" t="s">
        <v>317</v>
      </c>
      <c r="C267" s="8" t="s">
        <v>1034</v>
      </c>
      <c r="D267" s="8" t="s">
        <v>779</v>
      </c>
      <c r="E267" s="9">
        <f t="shared" si="12"/>
        <v>2025</v>
      </c>
      <c r="F267" s="8" t="str">
        <f>INDEX('Data Mahasiswa'!$N$1:$Q$14, MATCH(MID('Data Status Pendaftar'!B267, 5,2), 'Data Mahasiswa'!$N$1:$N$14,0),2)</f>
        <v>Sains</v>
      </c>
      <c r="G267" s="8" t="str" cm="1">
        <f t="array" ref="G267">INDEX('Data Mahasiswa'!$Q$2:$Q$14, MATCH(MID('Data Status Pendaftar'!B267,5,3), 'Data Mahasiswa'!$N$2:$N$14&amp;TEXT('Data Mahasiswa'!$P$2:$P$14,"0"), 0))</f>
        <v>Statistika</v>
      </c>
      <c r="H267" s="9">
        <f t="shared" ca="1" si="13"/>
        <v>2</v>
      </c>
      <c r="I267" s="10">
        <f>INDEX('Data Mahasiswa'!$A$1:$J$701, MATCH('Data Status Pendaftar'!B267, 'Data Mahasiswa'!$A$1:$A$701, 0), 10)</f>
        <v>2.9166666666666665</v>
      </c>
      <c r="J267" s="8" t="str" cm="1">
        <f t="array" ref="J267">INDEX('Data Mahasiswa'!B267:I267,MATCH(MIN(VLOOKUP('Data Mahasiswa'!B267:I267,'Data Mahasiswa'!$N$27:$O$36,2,0)),VLOOKUP('Data Mahasiswa'!B267:I267,'Data Mahasiswa'!$N$27:$O$36,2,0),0))</f>
        <v>C</v>
      </c>
      <c r="K267" s="8" t="str">
        <f t="shared" si="14"/>
        <v>Eligible</v>
      </c>
    </row>
    <row r="268" spans="1:11" x14ac:dyDescent="0.3">
      <c r="A268" s="5">
        <v>267</v>
      </c>
      <c r="B268" s="5" t="s">
        <v>318</v>
      </c>
      <c r="C268" s="5" t="s">
        <v>1035</v>
      </c>
      <c r="D268" s="5" t="s">
        <v>779</v>
      </c>
      <c r="E268" s="6">
        <f t="shared" si="12"/>
        <v>2025</v>
      </c>
      <c r="F268" s="5" t="str">
        <f>INDEX('Data Mahasiswa'!$N$1:$Q$14, MATCH(MID('Data Status Pendaftar'!B268, 5,2), 'Data Mahasiswa'!$N$1:$N$14,0),2)</f>
        <v>Sains</v>
      </c>
      <c r="G268" s="5" t="str" cm="1">
        <f t="array" ref="G268">INDEX('Data Mahasiswa'!$Q$2:$Q$14, MATCH(MID('Data Status Pendaftar'!B268,5,3), 'Data Mahasiswa'!$N$2:$N$14&amp;TEXT('Data Mahasiswa'!$P$2:$P$14,"0"), 0))</f>
        <v>Statistika</v>
      </c>
      <c r="H268" s="6">
        <f t="shared" ca="1" si="13"/>
        <v>2</v>
      </c>
      <c r="I268" s="7">
        <f>INDEX('Data Mahasiswa'!$A$1:$J$701, MATCH('Data Status Pendaftar'!B268, 'Data Mahasiswa'!$A$1:$A$701, 0), 10)</f>
        <v>2.5833333333333335</v>
      </c>
      <c r="J268" s="5" t="str" cm="1">
        <f t="array" ref="J268">INDEX('Data Mahasiswa'!B268:I268,MATCH(MIN(VLOOKUP('Data Mahasiswa'!B268:I268,'Data Mahasiswa'!$N$27:$O$36,2,0)),VLOOKUP('Data Mahasiswa'!B268:I268,'Data Mahasiswa'!$N$27:$O$36,2,0),0))</f>
        <v>E</v>
      </c>
      <c r="K268" s="5" t="str">
        <f t="shared" si="14"/>
        <v>Tidak Eligible</v>
      </c>
    </row>
    <row r="269" spans="1:11" x14ac:dyDescent="0.3">
      <c r="A269" s="8">
        <v>268</v>
      </c>
      <c r="B269" s="8" t="s">
        <v>319</v>
      </c>
      <c r="C269" s="8" t="s">
        <v>932</v>
      </c>
      <c r="D269" s="8" t="s">
        <v>779</v>
      </c>
      <c r="E269" s="9">
        <f t="shared" si="12"/>
        <v>2025</v>
      </c>
      <c r="F269" s="8" t="str">
        <f>INDEX('Data Mahasiswa'!$N$1:$Q$14, MATCH(MID('Data Status Pendaftar'!B269, 5,2), 'Data Mahasiswa'!$N$1:$N$14,0),2)</f>
        <v>Sains</v>
      </c>
      <c r="G269" s="8" t="str" cm="1">
        <f t="array" ref="G269">INDEX('Data Mahasiswa'!$Q$2:$Q$14, MATCH(MID('Data Status Pendaftar'!B269,5,3), 'Data Mahasiswa'!$N$2:$N$14&amp;TEXT('Data Mahasiswa'!$P$2:$P$14,"0"), 0))</f>
        <v>Statistika</v>
      </c>
      <c r="H269" s="9">
        <f t="shared" ca="1" si="13"/>
        <v>2</v>
      </c>
      <c r="I269" s="10">
        <f>INDEX('Data Mahasiswa'!$A$1:$J$701, MATCH('Data Status Pendaftar'!B269, 'Data Mahasiswa'!$A$1:$A$701, 0), 10)</f>
        <v>2.9166666666666665</v>
      </c>
      <c r="J269" s="8" t="str" cm="1">
        <f t="array" ref="J269">INDEX('Data Mahasiswa'!B269:I269,MATCH(MIN(VLOOKUP('Data Mahasiswa'!B269:I269,'Data Mahasiswa'!$N$27:$O$36,2,0)),VLOOKUP('Data Mahasiswa'!B269:I269,'Data Mahasiswa'!$N$27:$O$36,2,0),0))</f>
        <v>D</v>
      </c>
      <c r="K269" s="8" t="str">
        <f t="shared" si="14"/>
        <v>Tidak Eligible</v>
      </c>
    </row>
    <row r="270" spans="1:11" x14ac:dyDescent="0.3">
      <c r="A270" s="5">
        <v>269</v>
      </c>
      <c r="B270" s="5" t="s">
        <v>320</v>
      </c>
      <c r="C270" s="5" t="s">
        <v>1036</v>
      </c>
      <c r="D270" s="5" t="s">
        <v>779</v>
      </c>
      <c r="E270" s="6">
        <f t="shared" si="12"/>
        <v>2025</v>
      </c>
      <c r="F270" s="5" t="str">
        <f>INDEX('Data Mahasiswa'!$N$1:$Q$14, MATCH(MID('Data Status Pendaftar'!B270, 5,2), 'Data Mahasiswa'!$N$1:$N$14,0),2)</f>
        <v>Sains</v>
      </c>
      <c r="G270" s="5" t="str" cm="1">
        <f t="array" ref="G270">INDEX('Data Mahasiswa'!$Q$2:$Q$14, MATCH(MID('Data Status Pendaftar'!B270,5,3), 'Data Mahasiswa'!$N$2:$N$14&amp;TEXT('Data Mahasiswa'!$P$2:$P$14,"0"), 0))</f>
        <v>Statistika</v>
      </c>
      <c r="H270" s="6">
        <f t="shared" ca="1" si="13"/>
        <v>2</v>
      </c>
      <c r="I270" s="7">
        <f>INDEX('Data Mahasiswa'!$A$1:$J$701, MATCH('Data Status Pendaftar'!B270, 'Data Mahasiswa'!$A$1:$A$701, 0), 10)</f>
        <v>2.4166666666666665</v>
      </c>
      <c r="J270" s="5" t="str" cm="1">
        <f t="array" ref="J270">INDEX('Data Mahasiswa'!B270:I270,MATCH(MIN(VLOOKUP('Data Mahasiswa'!B270:I270,'Data Mahasiswa'!$N$27:$O$36,2,0)),VLOOKUP('Data Mahasiswa'!B270:I270,'Data Mahasiswa'!$N$27:$O$36,2,0),0))</f>
        <v>E</v>
      </c>
      <c r="K270" s="5" t="str">
        <f t="shared" si="14"/>
        <v>Tidak Eligible</v>
      </c>
    </row>
    <row r="271" spans="1:11" x14ac:dyDescent="0.3">
      <c r="A271" s="8">
        <v>270</v>
      </c>
      <c r="B271" s="8" t="s">
        <v>321</v>
      </c>
      <c r="C271" s="8" t="s">
        <v>1037</v>
      </c>
      <c r="D271" s="8" t="s">
        <v>780</v>
      </c>
      <c r="E271" s="9">
        <f t="shared" si="12"/>
        <v>2025</v>
      </c>
      <c r="F271" s="8" t="str">
        <f>INDEX('Data Mahasiswa'!$N$1:$Q$14, MATCH(MID('Data Status Pendaftar'!B271, 5,2), 'Data Mahasiswa'!$N$1:$N$14,0),2)</f>
        <v>Sains</v>
      </c>
      <c r="G271" s="8" t="str" cm="1">
        <f t="array" ref="G271">INDEX('Data Mahasiswa'!$Q$2:$Q$14, MATCH(MID('Data Status Pendaftar'!B271,5,3), 'Data Mahasiswa'!$N$2:$N$14&amp;TEXT('Data Mahasiswa'!$P$2:$P$14,"0"), 0))</f>
        <v>Statistika</v>
      </c>
      <c r="H271" s="9">
        <f t="shared" ca="1" si="13"/>
        <v>2</v>
      </c>
      <c r="I271" s="10">
        <f>INDEX('Data Mahasiswa'!$A$1:$J$701, MATCH('Data Status Pendaftar'!B271, 'Data Mahasiswa'!$A$1:$A$701, 0), 10)</f>
        <v>2.9166666666666665</v>
      </c>
      <c r="J271" s="8" t="str" cm="1">
        <f t="array" ref="J271">INDEX('Data Mahasiswa'!B271:I271,MATCH(MIN(VLOOKUP('Data Mahasiswa'!B271:I271,'Data Mahasiswa'!$N$27:$O$36,2,0)),VLOOKUP('Data Mahasiswa'!B271:I271,'Data Mahasiswa'!$N$27:$O$36,2,0),0))</f>
        <v>E</v>
      </c>
      <c r="K271" s="8" t="str">
        <f t="shared" si="14"/>
        <v>Tidak Eligible</v>
      </c>
    </row>
    <row r="272" spans="1:11" x14ac:dyDescent="0.3">
      <c r="A272" s="5">
        <v>271</v>
      </c>
      <c r="B272" s="5" t="s">
        <v>322</v>
      </c>
      <c r="C272" s="5" t="s">
        <v>833</v>
      </c>
      <c r="D272" s="5" t="s">
        <v>779</v>
      </c>
      <c r="E272" s="6">
        <f t="shared" si="12"/>
        <v>2025</v>
      </c>
      <c r="F272" s="5" t="str">
        <f>INDEX('Data Mahasiswa'!$N$1:$Q$14, MATCH(MID('Data Status Pendaftar'!B272, 5,2), 'Data Mahasiswa'!$N$1:$N$14,0),2)</f>
        <v>Sains</v>
      </c>
      <c r="G272" s="5" t="str" cm="1">
        <f t="array" ref="G272">INDEX('Data Mahasiswa'!$Q$2:$Q$14, MATCH(MID('Data Status Pendaftar'!B272,5,3), 'Data Mahasiswa'!$N$2:$N$14&amp;TEXT('Data Mahasiswa'!$P$2:$P$14,"0"), 0))</f>
        <v>Statistika</v>
      </c>
      <c r="H272" s="6">
        <f t="shared" ca="1" si="13"/>
        <v>2</v>
      </c>
      <c r="I272" s="7">
        <f>INDEX('Data Mahasiswa'!$A$1:$J$701, MATCH('Data Status Pendaftar'!B272, 'Data Mahasiswa'!$A$1:$A$701, 0), 10)</f>
        <v>2.5520833333333335</v>
      </c>
      <c r="J272" s="5" t="str" cm="1">
        <f t="array" ref="J272">INDEX('Data Mahasiswa'!B272:I272,MATCH(MIN(VLOOKUP('Data Mahasiswa'!B272:I272,'Data Mahasiswa'!$N$27:$O$36,2,0)),VLOOKUP('Data Mahasiswa'!B272:I272,'Data Mahasiswa'!$N$27:$O$36,2,0),0))</f>
        <v>E</v>
      </c>
      <c r="K272" s="5" t="str">
        <f t="shared" si="14"/>
        <v>Tidak Eligible</v>
      </c>
    </row>
    <row r="273" spans="1:11" x14ac:dyDescent="0.3">
      <c r="A273" s="8">
        <v>272</v>
      </c>
      <c r="B273" s="8" t="s">
        <v>323</v>
      </c>
      <c r="C273" s="8" t="s">
        <v>1038</v>
      </c>
      <c r="D273" s="8" t="s">
        <v>780</v>
      </c>
      <c r="E273" s="9">
        <f t="shared" si="12"/>
        <v>2025</v>
      </c>
      <c r="F273" s="8" t="str">
        <f>INDEX('Data Mahasiswa'!$N$1:$Q$14, MATCH(MID('Data Status Pendaftar'!B273, 5,2), 'Data Mahasiswa'!$N$1:$N$14,0),2)</f>
        <v>Sains</v>
      </c>
      <c r="G273" s="8" t="str" cm="1">
        <f t="array" ref="G273">INDEX('Data Mahasiswa'!$Q$2:$Q$14, MATCH(MID('Data Status Pendaftar'!B273,5,3), 'Data Mahasiswa'!$N$2:$N$14&amp;TEXT('Data Mahasiswa'!$P$2:$P$14,"0"), 0))</f>
        <v>Statistika</v>
      </c>
      <c r="H273" s="9">
        <f t="shared" ca="1" si="13"/>
        <v>2</v>
      </c>
      <c r="I273" s="10">
        <f>INDEX('Data Mahasiswa'!$A$1:$J$701, MATCH('Data Status Pendaftar'!B273, 'Data Mahasiswa'!$A$1:$A$701, 0), 10)</f>
        <v>2.6979166666666665</v>
      </c>
      <c r="J273" s="8" t="str" cm="1">
        <f t="array" ref="J273">INDEX('Data Mahasiswa'!B273:I273,MATCH(MIN(VLOOKUP('Data Mahasiswa'!B273:I273,'Data Mahasiswa'!$N$27:$O$36,2,0)),VLOOKUP('Data Mahasiswa'!B273:I273,'Data Mahasiswa'!$N$27:$O$36,2,0),0))</f>
        <v>E</v>
      </c>
      <c r="K273" s="8" t="str">
        <f t="shared" si="14"/>
        <v>Tidak Eligible</v>
      </c>
    </row>
    <row r="274" spans="1:11" x14ac:dyDescent="0.3">
      <c r="A274" s="5">
        <v>273</v>
      </c>
      <c r="B274" s="5" t="s">
        <v>324</v>
      </c>
      <c r="C274" s="5" t="s">
        <v>1039</v>
      </c>
      <c r="D274" s="5" t="s">
        <v>780</v>
      </c>
      <c r="E274" s="6">
        <f t="shared" si="12"/>
        <v>2025</v>
      </c>
      <c r="F274" s="5" t="str">
        <f>INDEX('Data Mahasiswa'!$N$1:$Q$14, MATCH(MID('Data Status Pendaftar'!B274, 5,2), 'Data Mahasiswa'!$N$1:$N$14,0),2)</f>
        <v>Sains</v>
      </c>
      <c r="G274" s="5" t="str" cm="1">
        <f t="array" ref="G274">INDEX('Data Mahasiswa'!$Q$2:$Q$14, MATCH(MID('Data Status Pendaftar'!B274,5,3), 'Data Mahasiswa'!$N$2:$N$14&amp;TEXT('Data Mahasiswa'!$P$2:$P$14,"0"), 0))</f>
        <v>Statistika</v>
      </c>
      <c r="H274" s="6">
        <f t="shared" ca="1" si="13"/>
        <v>2</v>
      </c>
      <c r="I274" s="7">
        <f>INDEX('Data Mahasiswa'!$A$1:$J$701, MATCH('Data Status Pendaftar'!B274, 'Data Mahasiswa'!$A$1:$A$701, 0), 10)</f>
        <v>3.3333333333333335</v>
      </c>
      <c r="J274" s="5" t="str" cm="1">
        <f t="array" ref="J274">INDEX('Data Mahasiswa'!B274:I274,MATCH(MIN(VLOOKUP('Data Mahasiswa'!B274:I274,'Data Mahasiswa'!$N$27:$O$36,2,0)),VLOOKUP('Data Mahasiswa'!B274:I274,'Data Mahasiswa'!$N$27:$O$36,2,0),0))</f>
        <v>C+</v>
      </c>
      <c r="K274" s="5" t="str">
        <f t="shared" si="14"/>
        <v>Eligible</v>
      </c>
    </row>
    <row r="275" spans="1:11" x14ac:dyDescent="0.3">
      <c r="A275" s="8">
        <v>274</v>
      </c>
      <c r="B275" s="8" t="s">
        <v>325</v>
      </c>
      <c r="C275" s="8" t="s">
        <v>1040</v>
      </c>
      <c r="D275" s="8" t="s">
        <v>780</v>
      </c>
      <c r="E275" s="9">
        <f t="shared" si="12"/>
        <v>2025</v>
      </c>
      <c r="F275" s="8" t="str">
        <f>INDEX('Data Mahasiswa'!$N$1:$Q$14, MATCH(MID('Data Status Pendaftar'!B275, 5,2), 'Data Mahasiswa'!$N$1:$N$14,0),2)</f>
        <v>Sains</v>
      </c>
      <c r="G275" s="8" t="str" cm="1">
        <f t="array" ref="G275">INDEX('Data Mahasiswa'!$Q$2:$Q$14, MATCH(MID('Data Status Pendaftar'!B275,5,3), 'Data Mahasiswa'!$N$2:$N$14&amp;TEXT('Data Mahasiswa'!$P$2:$P$14,"0"), 0))</f>
        <v>Statistika</v>
      </c>
      <c r="H275" s="9">
        <f t="shared" ca="1" si="13"/>
        <v>2</v>
      </c>
      <c r="I275" s="10">
        <f>INDEX('Data Mahasiswa'!$A$1:$J$701, MATCH('Data Status Pendaftar'!B275, 'Data Mahasiswa'!$A$1:$A$701, 0), 10)</f>
        <v>3.0416666666666665</v>
      </c>
      <c r="J275" s="8" t="str" cm="1">
        <f t="array" ref="J275">INDEX('Data Mahasiswa'!B275:I275,MATCH(MIN(VLOOKUP('Data Mahasiswa'!B275:I275,'Data Mahasiswa'!$N$27:$O$36,2,0)),VLOOKUP('Data Mahasiswa'!B275:I275,'Data Mahasiswa'!$N$27:$O$36,2,0),0))</f>
        <v>C+</v>
      </c>
      <c r="K275" s="8" t="str">
        <f t="shared" si="14"/>
        <v>Eligible</v>
      </c>
    </row>
    <row r="276" spans="1:11" x14ac:dyDescent="0.3">
      <c r="A276" s="5">
        <v>275</v>
      </c>
      <c r="B276" s="5" t="s">
        <v>326</v>
      </c>
      <c r="C276" s="5" t="s">
        <v>1041</v>
      </c>
      <c r="D276" s="5" t="s">
        <v>780</v>
      </c>
      <c r="E276" s="6">
        <f t="shared" si="12"/>
        <v>2025</v>
      </c>
      <c r="F276" s="5" t="str">
        <f>INDEX('Data Mahasiswa'!$N$1:$Q$14, MATCH(MID('Data Status Pendaftar'!B276, 5,2), 'Data Mahasiswa'!$N$1:$N$14,0),2)</f>
        <v>Sains</v>
      </c>
      <c r="G276" s="5" t="str" cm="1">
        <f t="array" ref="G276">INDEX('Data Mahasiswa'!$Q$2:$Q$14, MATCH(MID('Data Status Pendaftar'!B276,5,3), 'Data Mahasiswa'!$N$2:$N$14&amp;TEXT('Data Mahasiswa'!$P$2:$P$14,"0"), 0))</f>
        <v>Statistika</v>
      </c>
      <c r="H276" s="6">
        <f t="shared" ca="1" si="13"/>
        <v>2</v>
      </c>
      <c r="I276" s="7">
        <f>INDEX('Data Mahasiswa'!$A$1:$J$701, MATCH('Data Status Pendaftar'!B276, 'Data Mahasiswa'!$A$1:$A$701, 0), 10)</f>
        <v>2.8125</v>
      </c>
      <c r="J276" s="5" t="str" cm="1">
        <f t="array" ref="J276">INDEX('Data Mahasiswa'!B276:I276,MATCH(MIN(VLOOKUP('Data Mahasiswa'!B276:I276,'Data Mahasiswa'!$N$27:$O$36,2,0)),VLOOKUP('Data Mahasiswa'!B276:I276,'Data Mahasiswa'!$N$27:$O$36,2,0),0))</f>
        <v>E</v>
      </c>
      <c r="K276" s="5" t="str">
        <f t="shared" si="14"/>
        <v>Tidak Eligible</v>
      </c>
    </row>
    <row r="277" spans="1:11" x14ac:dyDescent="0.3">
      <c r="A277" s="8">
        <v>276</v>
      </c>
      <c r="B277" s="8" t="s">
        <v>327</v>
      </c>
      <c r="C277" s="8" t="s">
        <v>1042</v>
      </c>
      <c r="D277" s="8" t="s">
        <v>780</v>
      </c>
      <c r="E277" s="9">
        <f t="shared" si="12"/>
        <v>2025</v>
      </c>
      <c r="F277" s="8" t="str">
        <f>INDEX('Data Mahasiswa'!$N$1:$Q$14, MATCH(MID('Data Status Pendaftar'!B277, 5,2), 'Data Mahasiswa'!$N$1:$N$14,0),2)</f>
        <v>Sains</v>
      </c>
      <c r="G277" s="8" t="str" cm="1">
        <f t="array" ref="G277">INDEX('Data Mahasiswa'!$Q$2:$Q$14, MATCH(MID('Data Status Pendaftar'!B277,5,3), 'Data Mahasiswa'!$N$2:$N$14&amp;TEXT('Data Mahasiswa'!$P$2:$P$14,"0"), 0))</f>
        <v>Statistika</v>
      </c>
      <c r="H277" s="9">
        <f t="shared" ca="1" si="13"/>
        <v>2</v>
      </c>
      <c r="I277" s="10">
        <f>INDEX('Data Mahasiswa'!$A$1:$J$701, MATCH('Data Status Pendaftar'!B277, 'Data Mahasiswa'!$A$1:$A$701, 0), 10)</f>
        <v>3.4791666666666665</v>
      </c>
      <c r="J277" s="8" t="str" cm="1">
        <f t="array" ref="J277">INDEX('Data Mahasiswa'!B277:I277,MATCH(MIN(VLOOKUP('Data Mahasiswa'!B277:I277,'Data Mahasiswa'!$N$27:$O$36,2,0)),VLOOKUP('Data Mahasiswa'!B277:I277,'Data Mahasiswa'!$N$27:$O$36,2,0),0))</f>
        <v>C+</v>
      </c>
      <c r="K277" s="8" t="str">
        <f t="shared" si="14"/>
        <v>Eligible</v>
      </c>
    </row>
    <row r="278" spans="1:11" x14ac:dyDescent="0.3">
      <c r="A278" s="5">
        <v>277</v>
      </c>
      <c r="B278" s="5" t="s">
        <v>328</v>
      </c>
      <c r="C278" s="5" t="s">
        <v>1043</v>
      </c>
      <c r="D278" s="5" t="s">
        <v>779</v>
      </c>
      <c r="E278" s="6">
        <f t="shared" si="12"/>
        <v>2025</v>
      </c>
      <c r="F278" s="5" t="str">
        <f>INDEX('Data Mahasiswa'!$N$1:$Q$14, MATCH(MID('Data Status Pendaftar'!B278, 5,2), 'Data Mahasiswa'!$N$1:$N$14,0),2)</f>
        <v>Sains</v>
      </c>
      <c r="G278" s="5" t="str" cm="1">
        <f t="array" ref="G278">INDEX('Data Mahasiswa'!$Q$2:$Q$14, MATCH(MID('Data Status Pendaftar'!B278,5,3), 'Data Mahasiswa'!$N$2:$N$14&amp;TEXT('Data Mahasiswa'!$P$2:$P$14,"0"), 0))</f>
        <v>Statistika</v>
      </c>
      <c r="H278" s="6">
        <f t="shared" ca="1" si="13"/>
        <v>2</v>
      </c>
      <c r="I278" s="7">
        <f>INDEX('Data Mahasiswa'!$A$1:$J$701, MATCH('Data Status Pendaftar'!B278, 'Data Mahasiswa'!$A$1:$A$701, 0), 10)</f>
        <v>3.125</v>
      </c>
      <c r="J278" s="5" t="str" cm="1">
        <f t="array" ref="J278">INDEX('Data Mahasiswa'!B278:I278,MATCH(MIN(VLOOKUP('Data Mahasiswa'!B278:I278,'Data Mahasiswa'!$N$27:$O$36,2,0)),VLOOKUP('Data Mahasiswa'!B278:I278,'Data Mahasiswa'!$N$27:$O$36,2,0),0))</f>
        <v>C</v>
      </c>
      <c r="K278" s="5" t="str">
        <f t="shared" si="14"/>
        <v>Eligible</v>
      </c>
    </row>
    <row r="279" spans="1:11" x14ac:dyDescent="0.3">
      <c r="A279" s="8">
        <v>278</v>
      </c>
      <c r="B279" s="8" t="s">
        <v>329</v>
      </c>
      <c r="C279" s="8" t="s">
        <v>1044</v>
      </c>
      <c r="D279" s="8" t="s">
        <v>780</v>
      </c>
      <c r="E279" s="9">
        <f t="shared" si="12"/>
        <v>2025</v>
      </c>
      <c r="F279" s="8" t="str">
        <f>INDEX('Data Mahasiswa'!$N$1:$Q$14, MATCH(MID('Data Status Pendaftar'!B279, 5,2), 'Data Mahasiswa'!$N$1:$N$14,0),2)</f>
        <v>Sains</v>
      </c>
      <c r="G279" s="8" t="str" cm="1">
        <f t="array" ref="G279">INDEX('Data Mahasiswa'!$Q$2:$Q$14, MATCH(MID('Data Status Pendaftar'!B279,5,3), 'Data Mahasiswa'!$N$2:$N$14&amp;TEXT('Data Mahasiswa'!$P$2:$P$14,"0"), 0))</f>
        <v>Statistika</v>
      </c>
      <c r="H279" s="9">
        <f t="shared" ca="1" si="13"/>
        <v>2</v>
      </c>
      <c r="I279" s="10">
        <f>INDEX('Data Mahasiswa'!$A$1:$J$701, MATCH('Data Status Pendaftar'!B279, 'Data Mahasiswa'!$A$1:$A$701, 0), 10)</f>
        <v>2.8541666666666665</v>
      </c>
      <c r="J279" s="8" t="str" cm="1">
        <f t="array" ref="J279">INDEX('Data Mahasiswa'!B279:I279,MATCH(MIN(VLOOKUP('Data Mahasiswa'!B279:I279,'Data Mahasiswa'!$N$27:$O$36,2,0)),VLOOKUP('Data Mahasiswa'!B279:I279,'Data Mahasiswa'!$N$27:$O$36,2,0),0))</f>
        <v>D</v>
      </c>
      <c r="K279" s="8" t="str">
        <f t="shared" si="14"/>
        <v>Tidak Eligible</v>
      </c>
    </row>
    <row r="280" spans="1:11" x14ac:dyDescent="0.3">
      <c r="A280" s="5">
        <v>279</v>
      </c>
      <c r="B280" s="5" t="s">
        <v>330</v>
      </c>
      <c r="C280" s="5" t="s">
        <v>1045</v>
      </c>
      <c r="D280" s="5" t="s">
        <v>779</v>
      </c>
      <c r="E280" s="6">
        <f t="shared" si="12"/>
        <v>2025</v>
      </c>
      <c r="F280" s="5" t="str">
        <f>INDEX('Data Mahasiswa'!$N$1:$Q$14, MATCH(MID('Data Status Pendaftar'!B280, 5,2), 'Data Mahasiswa'!$N$1:$N$14,0),2)</f>
        <v>Sains</v>
      </c>
      <c r="G280" s="5" t="str" cm="1">
        <f t="array" ref="G280">INDEX('Data Mahasiswa'!$Q$2:$Q$14, MATCH(MID('Data Status Pendaftar'!B280,5,3), 'Data Mahasiswa'!$N$2:$N$14&amp;TEXT('Data Mahasiswa'!$P$2:$P$14,"0"), 0))</f>
        <v>Statistika</v>
      </c>
      <c r="H280" s="6">
        <f t="shared" ca="1" si="13"/>
        <v>2</v>
      </c>
      <c r="I280" s="7">
        <f>INDEX('Data Mahasiswa'!$A$1:$J$701, MATCH('Data Status Pendaftar'!B280, 'Data Mahasiswa'!$A$1:$A$701, 0), 10)</f>
        <v>2.9166666666666665</v>
      </c>
      <c r="J280" s="5" t="str" cm="1">
        <f t="array" ref="J280">INDEX('Data Mahasiswa'!B280:I280,MATCH(MIN(VLOOKUP('Data Mahasiswa'!B280:I280,'Data Mahasiswa'!$N$27:$O$36,2,0)),VLOOKUP('Data Mahasiswa'!B280:I280,'Data Mahasiswa'!$N$27:$O$36,2,0),0))</f>
        <v>D</v>
      </c>
      <c r="K280" s="5" t="str">
        <f t="shared" si="14"/>
        <v>Tidak Eligible</v>
      </c>
    </row>
    <row r="281" spans="1:11" x14ac:dyDescent="0.3">
      <c r="A281" s="8">
        <v>280</v>
      </c>
      <c r="B281" s="8" t="s">
        <v>331</v>
      </c>
      <c r="C281" s="8" t="s">
        <v>1046</v>
      </c>
      <c r="D281" s="8" t="s">
        <v>779</v>
      </c>
      <c r="E281" s="9">
        <f t="shared" si="12"/>
        <v>2025</v>
      </c>
      <c r="F281" s="8" t="str">
        <f>INDEX('Data Mahasiswa'!$N$1:$Q$14, MATCH(MID('Data Status Pendaftar'!B281, 5,2), 'Data Mahasiswa'!$N$1:$N$14,0),2)</f>
        <v>Sains</v>
      </c>
      <c r="G281" s="8" t="str" cm="1">
        <f t="array" ref="G281">INDEX('Data Mahasiswa'!$Q$2:$Q$14, MATCH(MID('Data Status Pendaftar'!B281,5,3), 'Data Mahasiswa'!$N$2:$N$14&amp;TEXT('Data Mahasiswa'!$P$2:$P$14,"0"), 0))</f>
        <v>Statistika</v>
      </c>
      <c r="H281" s="9">
        <f t="shared" ca="1" si="13"/>
        <v>2</v>
      </c>
      <c r="I281" s="10">
        <f>INDEX('Data Mahasiswa'!$A$1:$J$701, MATCH('Data Status Pendaftar'!B281, 'Data Mahasiswa'!$A$1:$A$701, 0), 10)</f>
        <v>2.7604166666666665</v>
      </c>
      <c r="J281" s="8" t="str" cm="1">
        <f t="array" ref="J281">INDEX('Data Mahasiswa'!B281:I281,MATCH(MIN(VLOOKUP('Data Mahasiswa'!B281:I281,'Data Mahasiswa'!$N$27:$O$36,2,0)),VLOOKUP('Data Mahasiswa'!B281:I281,'Data Mahasiswa'!$N$27:$O$36,2,0),0))</f>
        <v>D</v>
      </c>
      <c r="K281" s="8" t="str">
        <f t="shared" si="14"/>
        <v>Tidak Eligible</v>
      </c>
    </row>
    <row r="282" spans="1:11" x14ac:dyDescent="0.3">
      <c r="A282" s="5">
        <v>281</v>
      </c>
      <c r="B282" s="5" t="s">
        <v>332</v>
      </c>
      <c r="C282" s="5" t="s">
        <v>1047</v>
      </c>
      <c r="D282" s="5" t="s">
        <v>780</v>
      </c>
      <c r="E282" s="6">
        <f t="shared" si="12"/>
        <v>2025</v>
      </c>
      <c r="F282" s="5" t="str">
        <f>INDEX('Data Mahasiswa'!$N$1:$Q$14, MATCH(MID('Data Status Pendaftar'!B282, 5,2), 'Data Mahasiswa'!$N$1:$N$14,0),2)</f>
        <v>Sains</v>
      </c>
      <c r="G282" s="5" t="str" cm="1">
        <f t="array" ref="G282">INDEX('Data Mahasiswa'!$Q$2:$Q$14, MATCH(MID('Data Status Pendaftar'!B282,5,3), 'Data Mahasiswa'!$N$2:$N$14&amp;TEXT('Data Mahasiswa'!$P$2:$P$14,"0"), 0))</f>
        <v>Statistika</v>
      </c>
      <c r="H282" s="6">
        <f t="shared" ca="1" si="13"/>
        <v>2</v>
      </c>
      <c r="I282" s="7">
        <f>INDEX('Data Mahasiswa'!$A$1:$J$701, MATCH('Data Status Pendaftar'!B282, 'Data Mahasiswa'!$A$1:$A$701, 0), 10)</f>
        <v>3.1770833333333335</v>
      </c>
      <c r="J282" s="5" t="str" cm="1">
        <f t="array" ref="J282">INDEX('Data Mahasiswa'!B282:I282,MATCH(MIN(VLOOKUP('Data Mahasiswa'!B282:I282,'Data Mahasiswa'!$N$27:$O$36,2,0)),VLOOKUP('Data Mahasiswa'!B282:I282,'Data Mahasiswa'!$N$27:$O$36,2,0),0))</f>
        <v>C</v>
      </c>
      <c r="K282" s="5" t="str">
        <f t="shared" si="14"/>
        <v>Eligible</v>
      </c>
    </row>
    <row r="283" spans="1:11" x14ac:dyDescent="0.3">
      <c r="A283" s="8">
        <v>282</v>
      </c>
      <c r="B283" s="8" t="s">
        <v>333</v>
      </c>
      <c r="C283" s="8" t="s">
        <v>1048</v>
      </c>
      <c r="D283" s="8" t="s">
        <v>780</v>
      </c>
      <c r="E283" s="9">
        <f t="shared" si="12"/>
        <v>2025</v>
      </c>
      <c r="F283" s="8" t="str">
        <f>INDEX('Data Mahasiswa'!$N$1:$Q$14, MATCH(MID('Data Status Pendaftar'!B283, 5,2), 'Data Mahasiswa'!$N$1:$N$14,0),2)</f>
        <v>Sains</v>
      </c>
      <c r="G283" s="8" t="str" cm="1">
        <f t="array" ref="G283">INDEX('Data Mahasiswa'!$Q$2:$Q$14, MATCH(MID('Data Status Pendaftar'!B283,5,3), 'Data Mahasiswa'!$N$2:$N$14&amp;TEXT('Data Mahasiswa'!$P$2:$P$14,"0"), 0))</f>
        <v>Statistika</v>
      </c>
      <c r="H283" s="9">
        <f t="shared" ca="1" si="13"/>
        <v>2</v>
      </c>
      <c r="I283" s="10">
        <f>INDEX('Data Mahasiswa'!$A$1:$J$701, MATCH('Data Status Pendaftar'!B283, 'Data Mahasiswa'!$A$1:$A$701, 0), 10)</f>
        <v>3.21875</v>
      </c>
      <c r="J283" s="8" t="str" cm="1">
        <f t="array" ref="J283">INDEX('Data Mahasiswa'!B283:I283,MATCH(MIN(VLOOKUP('Data Mahasiswa'!B283:I283,'Data Mahasiswa'!$N$27:$O$36,2,0)),VLOOKUP('Data Mahasiswa'!B283:I283,'Data Mahasiswa'!$N$27:$O$36,2,0),0))</f>
        <v>E</v>
      </c>
      <c r="K283" s="8" t="str">
        <f t="shared" si="14"/>
        <v>Tidak Eligible</v>
      </c>
    </row>
    <row r="284" spans="1:11" x14ac:dyDescent="0.3">
      <c r="A284" s="5">
        <v>283</v>
      </c>
      <c r="B284" s="5" t="s">
        <v>334</v>
      </c>
      <c r="C284" s="5" t="s">
        <v>1049</v>
      </c>
      <c r="D284" s="5" t="s">
        <v>779</v>
      </c>
      <c r="E284" s="6">
        <f t="shared" si="12"/>
        <v>2025</v>
      </c>
      <c r="F284" s="5" t="str">
        <f>INDEX('Data Mahasiswa'!$N$1:$Q$14, MATCH(MID('Data Status Pendaftar'!B284, 5,2), 'Data Mahasiswa'!$N$1:$N$14,0),2)</f>
        <v>Sains</v>
      </c>
      <c r="G284" s="5" t="str" cm="1">
        <f t="array" ref="G284">INDEX('Data Mahasiswa'!$Q$2:$Q$14, MATCH(MID('Data Status Pendaftar'!B284,5,3), 'Data Mahasiswa'!$N$2:$N$14&amp;TEXT('Data Mahasiswa'!$P$2:$P$14,"0"), 0))</f>
        <v>Biologi</v>
      </c>
      <c r="H284" s="6">
        <f t="shared" ca="1" si="13"/>
        <v>2</v>
      </c>
      <c r="I284" s="7">
        <f>INDEX('Data Mahasiswa'!$A$1:$J$701, MATCH('Data Status Pendaftar'!B284, 'Data Mahasiswa'!$A$1:$A$701, 0), 10)</f>
        <v>3.59375</v>
      </c>
      <c r="J284" s="5" t="str" cm="1">
        <f t="array" ref="J284">INDEX('Data Mahasiswa'!B284:I284,MATCH(MIN(VLOOKUP('Data Mahasiswa'!B284:I284,'Data Mahasiswa'!$N$27:$O$36,2,0)),VLOOKUP('Data Mahasiswa'!B284:I284,'Data Mahasiswa'!$N$27:$O$36,2,0),0))</f>
        <v>C+</v>
      </c>
      <c r="K284" s="5" t="str">
        <f t="shared" si="14"/>
        <v>Eligible</v>
      </c>
    </row>
    <row r="285" spans="1:11" x14ac:dyDescent="0.3">
      <c r="A285" s="8">
        <v>284</v>
      </c>
      <c r="B285" s="8" t="s">
        <v>335</v>
      </c>
      <c r="C285" s="8" t="s">
        <v>1050</v>
      </c>
      <c r="D285" s="8" t="s">
        <v>779</v>
      </c>
      <c r="E285" s="9">
        <f t="shared" si="12"/>
        <v>2025</v>
      </c>
      <c r="F285" s="8" t="str">
        <f>INDEX('Data Mahasiswa'!$N$1:$Q$14, MATCH(MID('Data Status Pendaftar'!B285, 5,2), 'Data Mahasiswa'!$N$1:$N$14,0),2)</f>
        <v>Sains</v>
      </c>
      <c r="G285" s="8" t="str" cm="1">
        <f t="array" ref="G285">INDEX('Data Mahasiswa'!$Q$2:$Q$14, MATCH(MID('Data Status Pendaftar'!B285,5,3), 'Data Mahasiswa'!$N$2:$N$14&amp;TEXT('Data Mahasiswa'!$P$2:$P$14,"0"), 0))</f>
        <v>Biologi</v>
      </c>
      <c r="H285" s="9">
        <f t="shared" ca="1" si="13"/>
        <v>2</v>
      </c>
      <c r="I285" s="10">
        <f>INDEX('Data Mahasiswa'!$A$1:$J$701, MATCH('Data Status Pendaftar'!B285, 'Data Mahasiswa'!$A$1:$A$701, 0), 10)</f>
        <v>3.625</v>
      </c>
      <c r="J285" s="8" t="str" cm="1">
        <f t="array" ref="J285">INDEX('Data Mahasiswa'!B285:I285,MATCH(MIN(VLOOKUP('Data Mahasiswa'!B285:I285,'Data Mahasiswa'!$N$27:$O$36,2,0)),VLOOKUP('Data Mahasiswa'!B285:I285,'Data Mahasiswa'!$N$27:$O$36,2,0),0))</f>
        <v>B-</v>
      </c>
      <c r="K285" s="8" t="str">
        <f t="shared" si="14"/>
        <v>Eligible</v>
      </c>
    </row>
    <row r="286" spans="1:11" x14ac:dyDescent="0.3">
      <c r="A286" s="5">
        <v>285</v>
      </c>
      <c r="B286" s="5" t="s">
        <v>336</v>
      </c>
      <c r="C286" s="5" t="s">
        <v>1051</v>
      </c>
      <c r="D286" s="5" t="s">
        <v>780</v>
      </c>
      <c r="E286" s="6">
        <f t="shared" si="12"/>
        <v>2025</v>
      </c>
      <c r="F286" s="5" t="str">
        <f>INDEX('Data Mahasiswa'!$N$1:$Q$14, MATCH(MID('Data Status Pendaftar'!B286, 5,2), 'Data Mahasiswa'!$N$1:$N$14,0),2)</f>
        <v>Sains</v>
      </c>
      <c r="G286" s="5" t="str" cm="1">
        <f t="array" ref="G286">INDEX('Data Mahasiswa'!$Q$2:$Q$14, MATCH(MID('Data Status Pendaftar'!B286,5,3), 'Data Mahasiswa'!$N$2:$N$14&amp;TEXT('Data Mahasiswa'!$P$2:$P$14,"0"), 0))</f>
        <v>Biologi</v>
      </c>
      <c r="H286" s="6">
        <f t="shared" ca="1" si="13"/>
        <v>2</v>
      </c>
      <c r="I286" s="7">
        <f>INDEX('Data Mahasiswa'!$A$1:$J$701, MATCH('Data Status Pendaftar'!B286, 'Data Mahasiswa'!$A$1:$A$701, 0), 10)</f>
        <v>3.1041666666666665</v>
      </c>
      <c r="J286" s="5" t="str" cm="1">
        <f t="array" ref="J286">INDEX('Data Mahasiswa'!B286:I286,MATCH(MIN(VLOOKUP('Data Mahasiswa'!B286:I286,'Data Mahasiswa'!$N$27:$O$36,2,0)),VLOOKUP('Data Mahasiswa'!B286:I286,'Data Mahasiswa'!$N$27:$O$36,2,0),0))</f>
        <v>C+</v>
      </c>
      <c r="K286" s="5" t="str">
        <f t="shared" si="14"/>
        <v>Eligible</v>
      </c>
    </row>
    <row r="287" spans="1:11" x14ac:dyDescent="0.3">
      <c r="A287" s="8">
        <v>286</v>
      </c>
      <c r="B287" s="8" t="s">
        <v>337</v>
      </c>
      <c r="C287" s="8" t="s">
        <v>1052</v>
      </c>
      <c r="D287" s="8" t="s">
        <v>780</v>
      </c>
      <c r="E287" s="9">
        <f t="shared" si="12"/>
        <v>2025</v>
      </c>
      <c r="F287" s="8" t="str">
        <f>INDEX('Data Mahasiswa'!$N$1:$Q$14, MATCH(MID('Data Status Pendaftar'!B287, 5,2), 'Data Mahasiswa'!$N$1:$N$14,0),2)</f>
        <v>Sains</v>
      </c>
      <c r="G287" s="8" t="str" cm="1">
        <f t="array" ref="G287">INDEX('Data Mahasiswa'!$Q$2:$Q$14, MATCH(MID('Data Status Pendaftar'!B287,5,3), 'Data Mahasiswa'!$N$2:$N$14&amp;TEXT('Data Mahasiswa'!$P$2:$P$14,"0"), 0))</f>
        <v>Biologi</v>
      </c>
      <c r="H287" s="9">
        <f t="shared" ca="1" si="13"/>
        <v>2</v>
      </c>
      <c r="I287" s="10">
        <f>INDEX('Data Mahasiswa'!$A$1:$J$701, MATCH('Data Status Pendaftar'!B287, 'Data Mahasiswa'!$A$1:$A$701, 0), 10)</f>
        <v>2.7916666666666665</v>
      </c>
      <c r="J287" s="8" t="str" cm="1">
        <f t="array" ref="J287">INDEX('Data Mahasiswa'!B287:I287,MATCH(MIN(VLOOKUP('Data Mahasiswa'!B287:I287,'Data Mahasiswa'!$N$27:$O$36,2,0)),VLOOKUP('Data Mahasiswa'!B287:I287,'Data Mahasiswa'!$N$27:$O$36,2,0),0))</f>
        <v>D</v>
      </c>
      <c r="K287" s="8" t="str">
        <f t="shared" si="14"/>
        <v>Tidak Eligible</v>
      </c>
    </row>
    <row r="288" spans="1:11" x14ac:dyDescent="0.3">
      <c r="A288" s="5">
        <v>287</v>
      </c>
      <c r="B288" s="5" t="s">
        <v>338</v>
      </c>
      <c r="C288" s="5" t="s">
        <v>1053</v>
      </c>
      <c r="D288" s="5" t="s">
        <v>779</v>
      </c>
      <c r="E288" s="6">
        <f t="shared" si="12"/>
        <v>2025</v>
      </c>
      <c r="F288" s="5" t="str">
        <f>INDEX('Data Mahasiswa'!$N$1:$Q$14, MATCH(MID('Data Status Pendaftar'!B288, 5,2), 'Data Mahasiswa'!$N$1:$N$14,0),2)</f>
        <v>Sains</v>
      </c>
      <c r="G288" s="5" t="str" cm="1">
        <f t="array" ref="G288">INDEX('Data Mahasiswa'!$Q$2:$Q$14, MATCH(MID('Data Status Pendaftar'!B288,5,3), 'Data Mahasiswa'!$N$2:$N$14&amp;TEXT('Data Mahasiswa'!$P$2:$P$14,"0"), 0))</f>
        <v>Biologi</v>
      </c>
      <c r="H288" s="6">
        <f t="shared" ca="1" si="13"/>
        <v>2</v>
      </c>
      <c r="I288" s="7">
        <f>INDEX('Data Mahasiswa'!$A$1:$J$701, MATCH('Data Status Pendaftar'!B288, 'Data Mahasiswa'!$A$1:$A$701, 0), 10)</f>
        <v>3.2291666666666665</v>
      </c>
      <c r="J288" s="5" t="str" cm="1">
        <f t="array" ref="J288">INDEX('Data Mahasiswa'!B288:I288,MATCH(MIN(VLOOKUP('Data Mahasiswa'!B288:I288,'Data Mahasiswa'!$N$27:$O$36,2,0)),VLOOKUP('Data Mahasiswa'!B288:I288,'Data Mahasiswa'!$N$27:$O$36,2,0),0))</f>
        <v>C</v>
      </c>
      <c r="K288" s="5" t="str">
        <f t="shared" si="14"/>
        <v>Eligible</v>
      </c>
    </row>
    <row r="289" spans="1:11" x14ac:dyDescent="0.3">
      <c r="A289" s="8">
        <v>288</v>
      </c>
      <c r="B289" s="8" t="s">
        <v>339</v>
      </c>
      <c r="C289" s="8" t="s">
        <v>1054</v>
      </c>
      <c r="D289" s="8" t="s">
        <v>779</v>
      </c>
      <c r="E289" s="9">
        <f t="shared" si="12"/>
        <v>2025</v>
      </c>
      <c r="F289" s="8" t="str">
        <f>INDEX('Data Mahasiswa'!$N$1:$Q$14, MATCH(MID('Data Status Pendaftar'!B289, 5,2), 'Data Mahasiswa'!$N$1:$N$14,0),2)</f>
        <v>Sains</v>
      </c>
      <c r="G289" s="8" t="str" cm="1">
        <f t="array" ref="G289">INDEX('Data Mahasiswa'!$Q$2:$Q$14, MATCH(MID('Data Status Pendaftar'!B289,5,3), 'Data Mahasiswa'!$N$2:$N$14&amp;TEXT('Data Mahasiswa'!$P$2:$P$14,"0"), 0))</f>
        <v>Biologi</v>
      </c>
      <c r="H289" s="9">
        <f t="shared" ca="1" si="13"/>
        <v>2</v>
      </c>
      <c r="I289" s="10">
        <f>INDEX('Data Mahasiswa'!$A$1:$J$701, MATCH('Data Status Pendaftar'!B289, 'Data Mahasiswa'!$A$1:$A$701, 0), 10)</f>
        <v>3.0416666666666665</v>
      </c>
      <c r="J289" s="8" t="str" cm="1">
        <f t="array" ref="J289">INDEX('Data Mahasiswa'!B289:I289,MATCH(MIN(VLOOKUP('Data Mahasiswa'!B289:I289,'Data Mahasiswa'!$N$27:$O$36,2,0)),VLOOKUP('Data Mahasiswa'!B289:I289,'Data Mahasiswa'!$N$27:$O$36,2,0),0))</f>
        <v>C</v>
      </c>
      <c r="K289" s="8" t="str">
        <f t="shared" si="14"/>
        <v>Eligible</v>
      </c>
    </row>
    <row r="290" spans="1:11" x14ac:dyDescent="0.3">
      <c r="A290" s="5">
        <v>289</v>
      </c>
      <c r="B290" s="5" t="s">
        <v>340</v>
      </c>
      <c r="C290" s="5" t="s">
        <v>1055</v>
      </c>
      <c r="D290" s="5" t="s">
        <v>780</v>
      </c>
      <c r="E290" s="6">
        <f t="shared" si="12"/>
        <v>2025</v>
      </c>
      <c r="F290" s="5" t="str">
        <f>INDEX('Data Mahasiswa'!$N$1:$Q$14, MATCH(MID('Data Status Pendaftar'!B290, 5,2), 'Data Mahasiswa'!$N$1:$N$14,0),2)</f>
        <v>Sains</v>
      </c>
      <c r="G290" s="5" t="str" cm="1">
        <f t="array" ref="G290">INDEX('Data Mahasiswa'!$Q$2:$Q$14, MATCH(MID('Data Status Pendaftar'!B290,5,3), 'Data Mahasiswa'!$N$2:$N$14&amp;TEXT('Data Mahasiswa'!$P$2:$P$14,"0"), 0))</f>
        <v>Biologi</v>
      </c>
      <c r="H290" s="6">
        <f t="shared" ca="1" si="13"/>
        <v>2</v>
      </c>
      <c r="I290" s="7">
        <f>INDEX('Data Mahasiswa'!$A$1:$J$701, MATCH('Data Status Pendaftar'!B290, 'Data Mahasiswa'!$A$1:$A$701, 0), 10)</f>
        <v>3.25</v>
      </c>
      <c r="J290" s="5" t="str" cm="1">
        <f t="array" ref="J290">INDEX('Data Mahasiswa'!B290:I290,MATCH(MIN(VLOOKUP('Data Mahasiswa'!B290:I290,'Data Mahasiswa'!$N$27:$O$36,2,0)),VLOOKUP('Data Mahasiswa'!B290:I290,'Data Mahasiswa'!$N$27:$O$36,2,0),0))</f>
        <v>C</v>
      </c>
      <c r="K290" s="5" t="str">
        <f t="shared" si="14"/>
        <v>Eligible</v>
      </c>
    </row>
    <row r="291" spans="1:11" x14ac:dyDescent="0.3">
      <c r="A291" s="8">
        <v>290</v>
      </c>
      <c r="B291" s="8" t="s">
        <v>341</v>
      </c>
      <c r="C291" s="8" t="s">
        <v>1056</v>
      </c>
      <c r="D291" s="8" t="s">
        <v>779</v>
      </c>
      <c r="E291" s="9">
        <f t="shared" si="12"/>
        <v>2025</v>
      </c>
      <c r="F291" s="8" t="str">
        <f>INDEX('Data Mahasiswa'!$N$1:$Q$14, MATCH(MID('Data Status Pendaftar'!B291, 5,2), 'Data Mahasiswa'!$N$1:$N$14,0),2)</f>
        <v>Sains</v>
      </c>
      <c r="G291" s="8" t="str" cm="1">
        <f t="array" ref="G291">INDEX('Data Mahasiswa'!$Q$2:$Q$14, MATCH(MID('Data Status Pendaftar'!B291,5,3), 'Data Mahasiswa'!$N$2:$N$14&amp;TEXT('Data Mahasiswa'!$P$2:$P$14,"0"), 0))</f>
        <v>Biologi</v>
      </c>
      <c r="H291" s="9">
        <f t="shared" ca="1" si="13"/>
        <v>2</v>
      </c>
      <c r="I291" s="10">
        <f>INDEX('Data Mahasiswa'!$A$1:$J$701, MATCH('Data Status Pendaftar'!B291, 'Data Mahasiswa'!$A$1:$A$701, 0), 10)</f>
        <v>3.5416666666666665</v>
      </c>
      <c r="J291" s="8" t="str" cm="1">
        <f t="array" ref="J291">INDEX('Data Mahasiswa'!B291:I291,MATCH(MIN(VLOOKUP('Data Mahasiswa'!B291:I291,'Data Mahasiswa'!$N$27:$O$36,2,0)),VLOOKUP('Data Mahasiswa'!B291:I291,'Data Mahasiswa'!$N$27:$O$36,2,0),0))</f>
        <v>B</v>
      </c>
      <c r="K291" s="8" t="str">
        <f t="shared" si="14"/>
        <v>Eligible</v>
      </c>
    </row>
    <row r="292" spans="1:11" x14ac:dyDescent="0.3">
      <c r="A292" s="5">
        <v>291</v>
      </c>
      <c r="B292" s="5" t="s">
        <v>342</v>
      </c>
      <c r="C292" s="5" t="s">
        <v>1057</v>
      </c>
      <c r="D292" s="5" t="s">
        <v>779</v>
      </c>
      <c r="E292" s="6">
        <f t="shared" si="12"/>
        <v>2025</v>
      </c>
      <c r="F292" s="5" t="str">
        <f>INDEX('Data Mahasiswa'!$N$1:$Q$14, MATCH(MID('Data Status Pendaftar'!B292, 5,2), 'Data Mahasiswa'!$N$1:$N$14,0),2)</f>
        <v>Sains</v>
      </c>
      <c r="G292" s="5" t="str" cm="1">
        <f t="array" ref="G292">INDEX('Data Mahasiswa'!$Q$2:$Q$14, MATCH(MID('Data Status Pendaftar'!B292,5,3), 'Data Mahasiswa'!$N$2:$N$14&amp;TEXT('Data Mahasiswa'!$P$2:$P$14,"0"), 0))</f>
        <v>Biologi</v>
      </c>
      <c r="H292" s="6">
        <f t="shared" ca="1" si="13"/>
        <v>2</v>
      </c>
      <c r="I292" s="7">
        <f>INDEX('Data Mahasiswa'!$A$1:$J$701, MATCH('Data Status Pendaftar'!B292, 'Data Mahasiswa'!$A$1:$A$701, 0), 10)</f>
        <v>2.8333333333333335</v>
      </c>
      <c r="J292" s="5" t="str" cm="1">
        <f t="array" ref="J292">INDEX('Data Mahasiswa'!B292:I292,MATCH(MIN(VLOOKUP('Data Mahasiswa'!B292:I292,'Data Mahasiswa'!$N$27:$O$36,2,0)),VLOOKUP('Data Mahasiswa'!B292:I292,'Data Mahasiswa'!$N$27:$O$36,2,0),0))</f>
        <v>C</v>
      </c>
      <c r="K292" s="5" t="str">
        <f t="shared" si="14"/>
        <v>Eligible</v>
      </c>
    </row>
    <row r="293" spans="1:11" x14ac:dyDescent="0.3">
      <c r="A293" s="8">
        <v>292</v>
      </c>
      <c r="B293" s="8" t="s">
        <v>343</v>
      </c>
      <c r="C293" s="8" t="s">
        <v>1058</v>
      </c>
      <c r="D293" s="8" t="s">
        <v>780</v>
      </c>
      <c r="E293" s="9">
        <f t="shared" si="12"/>
        <v>2025</v>
      </c>
      <c r="F293" s="8" t="str">
        <f>INDEX('Data Mahasiswa'!$N$1:$Q$14, MATCH(MID('Data Status Pendaftar'!B293, 5,2), 'Data Mahasiswa'!$N$1:$N$14,0),2)</f>
        <v>Sains</v>
      </c>
      <c r="G293" s="8" t="str" cm="1">
        <f t="array" ref="G293">INDEX('Data Mahasiswa'!$Q$2:$Q$14, MATCH(MID('Data Status Pendaftar'!B293,5,3), 'Data Mahasiswa'!$N$2:$N$14&amp;TEXT('Data Mahasiswa'!$P$2:$P$14,"0"), 0))</f>
        <v>Biologi</v>
      </c>
      <c r="H293" s="9">
        <f t="shared" ca="1" si="13"/>
        <v>2</v>
      </c>
      <c r="I293" s="10">
        <f>INDEX('Data Mahasiswa'!$A$1:$J$701, MATCH('Data Status Pendaftar'!B293, 'Data Mahasiswa'!$A$1:$A$701, 0), 10)</f>
        <v>3.3854166666666665</v>
      </c>
      <c r="J293" s="8" t="str" cm="1">
        <f t="array" ref="J293">INDEX('Data Mahasiswa'!B293:I293,MATCH(MIN(VLOOKUP('Data Mahasiswa'!B293:I293,'Data Mahasiswa'!$N$27:$O$36,2,0)),VLOOKUP('Data Mahasiswa'!B293:I293,'Data Mahasiswa'!$N$27:$O$36,2,0),0))</f>
        <v>B-</v>
      </c>
      <c r="K293" s="8" t="str">
        <f t="shared" si="14"/>
        <v>Eligible</v>
      </c>
    </row>
    <row r="294" spans="1:11" x14ac:dyDescent="0.3">
      <c r="A294" s="5">
        <v>293</v>
      </c>
      <c r="B294" s="5" t="s">
        <v>344</v>
      </c>
      <c r="C294" s="5" t="s">
        <v>1059</v>
      </c>
      <c r="D294" s="5" t="s">
        <v>780</v>
      </c>
      <c r="E294" s="6">
        <f t="shared" si="12"/>
        <v>2025</v>
      </c>
      <c r="F294" s="5" t="str">
        <f>INDEX('Data Mahasiswa'!$N$1:$Q$14, MATCH(MID('Data Status Pendaftar'!B294, 5,2), 'Data Mahasiswa'!$N$1:$N$14,0),2)</f>
        <v>Sains</v>
      </c>
      <c r="G294" s="5" t="str" cm="1">
        <f t="array" ref="G294">INDEX('Data Mahasiswa'!$Q$2:$Q$14, MATCH(MID('Data Status Pendaftar'!B294,5,3), 'Data Mahasiswa'!$N$2:$N$14&amp;TEXT('Data Mahasiswa'!$P$2:$P$14,"0"), 0))</f>
        <v>Biologi</v>
      </c>
      <c r="H294" s="6">
        <f t="shared" ca="1" si="13"/>
        <v>2</v>
      </c>
      <c r="I294" s="7">
        <f>INDEX('Data Mahasiswa'!$A$1:$J$701, MATCH('Data Status Pendaftar'!B294, 'Data Mahasiswa'!$A$1:$A$701, 0), 10)</f>
        <v>3.125</v>
      </c>
      <c r="J294" s="5" t="str" cm="1">
        <f t="array" ref="J294">INDEX('Data Mahasiswa'!B294:I294,MATCH(MIN(VLOOKUP('Data Mahasiswa'!B294:I294,'Data Mahasiswa'!$N$27:$O$36,2,0)),VLOOKUP('Data Mahasiswa'!B294:I294,'Data Mahasiswa'!$N$27:$O$36,2,0),0))</f>
        <v>C</v>
      </c>
      <c r="K294" s="5" t="str">
        <f t="shared" si="14"/>
        <v>Eligible</v>
      </c>
    </row>
    <row r="295" spans="1:11" x14ac:dyDescent="0.3">
      <c r="A295" s="8">
        <v>294</v>
      </c>
      <c r="B295" s="8" t="s">
        <v>345</v>
      </c>
      <c r="C295" s="8" t="s">
        <v>1060</v>
      </c>
      <c r="D295" s="8" t="s">
        <v>780</v>
      </c>
      <c r="E295" s="9">
        <f t="shared" si="12"/>
        <v>2025</v>
      </c>
      <c r="F295" s="8" t="str">
        <f>INDEX('Data Mahasiswa'!$N$1:$Q$14, MATCH(MID('Data Status Pendaftar'!B295, 5,2), 'Data Mahasiswa'!$N$1:$N$14,0),2)</f>
        <v>Sains</v>
      </c>
      <c r="G295" s="8" t="str" cm="1">
        <f t="array" ref="G295">INDEX('Data Mahasiswa'!$Q$2:$Q$14, MATCH(MID('Data Status Pendaftar'!B295,5,3), 'Data Mahasiswa'!$N$2:$N$14&amp;TEXT('Data Mahasiswa'!$P$2:$P$14,"0"), 0))</f>
        <v>Biologi</v>
      </c>
      <c r="H295" s="9">
        <f t="shared" ca="1" si="13"/>
        <v>2</v>
      </c>
      <c r="I295" s="10">
        <f>INDEX('Data Mahasiswa'!$A$1:$J$701, MATCH('Data Status Pendaftar'!B295, 'Data Mahasiswa'!$A$1:$A$701, 0), 10)</f>
        <v>3.3958333333333335</v>
      </c>
      <c r="J295" s="8" t="str" cm="1">
        <f t="array" ref="J295">INDEX('Data Mahasiswa'!B295:I295,MATCH(MIN(VLOOKUP('Data Mahasiswa'!B295:I295,'Data Mahasiswa'!$N$27:$O$36,2,0)),VLOOKUP('Data Mahasiswa'!B295:I295,'Data Mahasiswa'!$N$27:$O$36,2,0),0))</f>
        <v>B-</v>
      </c>
      <c r="K295" s="8" t="str">
        <f t="shared" si="14"/>
        <v>Eligible</v>
      </c>
    </row>
    <row r="296" spans="1:11" x14ac:dyDescent="0.3">
      <c r="A296" s="5">
        <v>295</v>
      </c>
      <c r="B296" s="5" t="s">
        <v>346</v>
      </c>
      <c r="C296" s="5" t="s">
        <v>1061</v>
      </c>
      <c r="D296" s="5" t="s">
        <v>779</v>
      </c>
      <c r="E296" s="6">
        <f t="shared" si="12"/>
        <v>2025</v>
      </c>
      <c r="F296" s="5" t="str">
        <f>INDEX('Data Mahasiswa'!$N$1:$Q$14, MATCH(MID('Data Status Pendaftar'!B296, 5,2), 'Data Mahasiswa'!$N$1:$N$14,0),2)</f>
        <v>Sains</v>
      </c>
      <c r="G296" s="5" t="str" cm="1">
        <f t="array" ref="G296">INDEX('Data Mahasiswa'!$Q$2:$Q$14, MATCH(MID('Data Status Pendaftar'!B296,5,3), 'Data Mahasiswa'!$N$2:$N$14&amp;TEXT('Data Mahasiswa'!$P$2:$P$14,"0"), 0))</f>
        <v>Biologi</v>
      </c>
      <c r="H296" s="6">
        <f t="shared" ca="1" si="13"/>
        <v>2</v>
      </c>
      <c r="I296" s="7">
        <f>INDEX('Data Mahasiswa'!$A$1:$J$701, MATCH('Data Status Pendaftar'!B296, 'Data Mahasiswa'!$A$1:$A$701, 0), 10)</f>
        <v>3.375</v>
      </c>
      <c r="J296" s="5" t="str" cm="1">
        <f t="array" ref="J296">INDEX('Data Mahasiswa'!B296:I296,MATCH(MIN(VLOOKUP('Data Mahasiswa'!B296:I296,'Data Mahasiswa'!$N$27:$O$36,2,0)),VLOOKUP('Data Mahasiswa'!B296:I296,'Data Mahasiswa'!$N$27:$O$36,2,0),0))</f>
        <v>C+</v>
      </c>
      <c r="K296" s="5" t="str">
        <f t="shared" si="14"/>
        <v>Eligible</v>
      </c>
    </row>
    <row r="297" spans="1:11" x14ac:dyDescent="0.3">
      <c r="A297" s="8">
        <v>296</v>
      </c>
      <c r="B297" s="8" t="s">
        <v>347</v>
      </c>
      <c r="C297" s="8" t="s">
        <v>1062</v>
      </c>
      <c r="D297" s="8" t="s">
        <v>779</v>
      </c>
      <c r="E297" s="9">
        <f t="shared" si="12"/>
        <v>2025</v>
      </c>
      <c r="F297" s="8" t="str">
        <f>INDEX('Data Mahasiswa'!$N$1:$Q$14, MATCH(MID('Data Status Pendaftar'!B297, 5,2), 'Data Mahasiswa'!$N$1:$N$14,0),2)</f>
        <v>Sains</v>
      </c>
      <c r="G297" s="8" t="str" cm="1">
        <f t="array" ref="G297">INDEX('Data Mahasiswa'!$Q$2:$Q$14, MATCH(MID('Data Status Pendaftar'!B297,5,3), 'Data Mahasiswa'!$N$2:$N$14&amp;TEXT('Data Mahasiswa'!$P$2:$P$14,"0"), 0))</f>
        <v>Biologi</v>
      </c>
      <c r="H297" s="9">
        <f t="shared" ca="1" si="13"/>
        <v>2</v>
      </c>
      <c r="I297" s="10">
        <f>INDEX('Data Mahasiswa'!$A$1:$J$701, MATCH('Data Status Pendaftar'!B297, 'Data Mahasiswa'!$A$1:$A$701, 0), 10)</f>
        <v>3.3854166666666665</v>
      </c>
      <c r="J297" s="8" t="str" cm="1">
        <f t="array" ref="J297">INDEX('Data Mahasiswa'!B297:I297,MATCH(MIN(VLOOKUP('Data Mahasiswa'!B297:I297,'Data Mahasiswa'!$N$27:$O$36,2,0)),VLOOKUP('Data Mahasiswa'!B297:I297,'Data Mahasiswa'!$N$27:$O$36,2,0),0))</f>
        <v>C+</v>
      </c>
      <c r="K297" s="8" t="str">
        <f t="shared" si="14"/>
        <v>Eligible</v>
      </c>
    </row>
    <row r="298" spans="1:11" x14ac:dyDescent="0.3">
      <c r="A298" s="5">
        <v>297</v>
      </c>
      <c r="B298" s="5" t="s">
        <v>348</v>
      </c>
      <c r="C298" s="5" t="s">
        <v>1063</v>
      </c>
      <c r="D298" s="5" t="s">
        <v>780</v>
      </c>
      <c r="E298" s="6">
        <f t="shared" si="12"/>
        <v>2025</v>
      </c>
      <c r="F298" s="5" t="str">
        <f>INDEX('Data Mahasiswa'!$N$1:$Q$14, MATCH(MID('Data Status Pendaftar'!B298, 5,2), 'Data Mahasiswa'!$N$1:$N$14,0),2)</f>
        <v>Sains</v>
      </c>
      <c r="G298" s="5" t="str" cm="1">
        <f t="array" ref="G298">INDEX('Data Mahasiswa'!$Q$2:$Q$14, MATCH(MID('Data Status Pendaftar'!B298,5,3), 'Data Mahasiswa'!$N$2:$N$14&amp;TEXT('Data Mahasiswa'!$P$2:$P$14,"0"), 0))</f>
        <v>Biologi</v>
      </c>
      <c r="H298" s="6">
        <f t="shared" ca="1" si="13"/>
        <v>2</v>
      </c>
      <c r="I298" s="7">
        <f>INDEX('Data Mahasiswa'!$A$1:$J$701, MATCH('Data Status Pendaftar'!B298, 'Data Mahasiswa'!$A$1:$A$701, 0), 10)</f>
        <v>2.9791666666666665</v>
      </c>
      <c r="J298" s="5" t="str" cm="1">
        <f t="array" ref="J298">INDEX('Data Mahasiswa'!B298:I298,MATCH(MIN(VLOOKUP('Data Mahasiswa'!B298:I298,'Data Mahasiswa'!$N$27:$O$36,2,0)),VLOOKUP('Data Mahasiswa'!B298:I298,'Data Mahasiswa'!$N$27:$O$36,2,0),0))</f>
        <v>C</v>
      </c>
      <c r="K298" s="5" t="str">
        <f t="shared" si="14"/>
        <v>Eligible</v>
      </c>
    </row>
    <row r="299" spans="1:11" x14ac:dyDescent="0.3">
      <c r="A299" s="8">
        <v>298</v>
      </c>
      <c r="B299" s="8" t="s">
        <v>349</v>
      </c>
      <c r="C299" s="8" t="s">
        <v>1064</v>
      </c>
      <c r="D299" s="8" t="s">
        <v>780</v>
      </c>
      <c r="E299" s="9">
        <f t="shared" si="12"/>
        <v>2025</v>
      </c>
      <c r="F299" s="8" t="str">
        <f>INDEX('Data Mahasiswa'!$N$1:$Q$14, MATCH(MID('Data Status Pendaftar'!B299, 5,2), 'Data Mahasiswa'!$N$1:$N$14,0),2)</f>
        <v>Sains</v>
      </c>
      <c r="G299" s="8" t="str" cm="1">
        <f t="array" ref="G299">INDEX('Data Mahasiswa'!$Q$2:$Q$14, MATCH(MID('Data Status Pendaftar'!B299,5,3), 'Data Mahasiswa'!$N$2:$N$14&amp;TEXT('Data Mahasiswa'!$P$2:$P$14,"0"), 0))</f>
        <v>Biologi</v>
      </c>
      <c r="H299" s="9">
        <f t="shared" ca="1" si="13"/>
        <v>2</v>
      </c>
      <c r="I299" s="10">
        <f>INDEX('Data Mahasiswa'!$A$1:$J$701, MATCH('Data Status Pendaftar'!B299, 'Data Mahasiswa'!$A$1:$A$701, 0), 10)</f>
        <v>3.3645833333333335</v>
      </c>
      <c r="J299" s="8" t="str" cm="1">
        <f t="array" ref="J299">INDEX('Data Mahasiswa'!B299:I299,MATCH(MIN(VLOOKUP('Data Mahasiswa'!B299:I299,'Data Mahasiswa'!$N$27:$O$36,2,0)),VLOOKUP('Data Mahasiswa'!B299:I299,'Data Mahasiswa'!$N$27:$O$36,2,0),0))</f>
        <v>C+</v>
      </c>
      <c r="K299" s="8" t="str">
        <f t="shared" si="14"/>
        <v>Eligible</v>
      </c>
    </row>
    <row r="300" spans="1:11" x14ac:dyDescent="0.3">
      <c r="A300" s="5">
        <v>299</v>
      </c>
      <c r="B300" s="5" t="s">
        <v>350</v>
      </c>
      <c r="C300" s="5" t="s">
        <v>1065</v>
      </c>
      <c r="D300" s="5" t="s">
        <v>780</v>
      </c>
      <c r="E300" s="6">
        <f t="shared" si="12"/>
        <v>2025</v>
      </c>
      <c r="F300" s="5" t="str">
        <f>INDEX('Data Mahasiswa'!$N$1:$Q$14, MATCH(MID('Data Status Pendaftar'!B300, 5,2), 'Data Mahasiswa'!$N$1:$N$14,0),2)</f>
        <v>Sains</v>
      </c>
      <c r="G300" s="5" t="str" cm="1">
        <f t="array" ref="G300">INDEX('Data Mahasiswa'!$Q$2:$Q$14, MATCH(MID('Data Status Pendaftar'!B300,5,3), 'Data Mahasiswa'!$N$2:$N$14&amp;TEXT('Data Mahasiswa'!$P$2:$P$14,"0"), 0))</f>
        <v>Biologi</v>
      </c>
      <c r="H300" s="6">
        <f t="shared" ca="1" si="13"/>
        <v>2</v>
      </c>
      <c r="I300" s="7">
        <f>INDEX('Data Mahasiswa'!$A$1:$J$701, MATCH('Data Status Pendaftar'!B300, 'Data Mahasiswa'!$A$1:$A$701, 0), 10)</f>
        <v>2.4895833333333335</v>
      </c>
      <c r="J300" s="5" t="str" cm="1">
        <f t="array" ref="J300">INDEX('Data Mahasiswa'!B300:I300,MATCH(MIN(VLOOKUP('Data Mahasiswa'!B300:I300,'Data Mahasiswa'!$N$27:$O$36,2,0)),VLOOKUP('Data Mahasiswa'!B300:I300,'Data Mahasiswa'!$N$27:$O$36,2,0),0))</f>
        <v>D</v>
      </c>
      <c r="K300" s="5" t="str">
        <f t="shared" si="14"/>
        <v>Tidak Eligible</v>
      </c>
    </row>
    <row r="301" spans="1:11" x14ac:dyDescent="0.3">
      <c r="A301" s="8">
        <v>300</v>
      </c>
      <c r="B301" s="8" t="s">
        <v>351</v>
      </c>
      <c r="C301" s="8" t="s">
        <v>1066</v>
      </c>
      <c r="D301" s="8" t="s">
        <v>780</v>
      </c>
      <c r="E301" s="9">
        <f t="shared" si="12"/>
        <v>2025</v>
      </c>
      <c r="F301" s="8" t="str">
        <f>INDEX('Data Mahasiswa'!$N$1:$Q$14, MATCH(MID('Data Status Pendaftar'!B301, 5,2), 'Data Mahasiswa'!$N$1:$N$14,0),2)</f>
        <v>Sains</v>
      </c>
      <c r="G301" s="8" t="str" cm="1">
        <f t="array" ref="G301">INDEX('Data Mahasiswa'!$Q$2:$Q$14, MATCH(MID('Data Status Pendaftar'!B301,5,3), 'Data Mahasiswa'!$N$2:$N$14&amp;TEXT('Data Mahasiswa'!$P$2:$P$14,"0"), 0))</f>
        <v>Biologi</v>
      </c>
      <c r="H301" s="9">
        <f t="shared" ca="1" si="13"/>
        <v>2</v>
      </c>
      <c r="I301" s="10">
        <f>INDEX('Data Mahasiswa'!$A$1:$J$701, MATCH('Data Status Pendaftar'!B301, 'Data Mahasiswa'!$A$1:$A$701, 0), 10)</f>
        <v>3.2708333333333335</v>
      </c>
      <c r="J301" s="8" t="str" cm="1">
        <f t="array" ref="J301">INDEX('Data Mahasiswa'!B301:I301,MATCH(MIN(VLOOKUP('Data Mahasiswa'!B301:I301,'Data Mahasiswa'!$N$27:$O$36,2,0)),VLOOKUP('Data Mahasiswa'!B301:I301,'Data Mahasiswa'!$N$27:$O$36,2,0),0))</f>
        <v>C</v>
      </c>
      <c r="K301" s="8" t="str">
        <f t="shared" si="14"/>
        <v>Eligible</v>
      </c>
    </row>
    <row r="302" spans="1:11" x14ac:dyDescent="0.3">
      <c r="A302" s="5">
        <v>301</v>
      </c>
      <c r="B302" s="5" t="s">
        <v>352</v>
      </c>
      <c r="C302" s="5" t="s">
        <v>1067</v>
      </c>
      <c r="D302" s="5" t="s">
        <v>779</v>
      </c>
      <c r="E302" s="6">
        <f t="shared" si="12"/>
        <v>2025</v>
      </c>
      <c r="F302" s="5" t="str">
        <f>INDEX('Data Mahasiswa'!$N$1:$Q$14, MATCH(MID('Data Status Pendaftar'!B302, 5,2), 'Data Mahasiswa'!$N$1:$N$14,0),2)</f>
        <v>Sains</v>
      </c>
      <c r="G302" s="5" t="str" cm="1">
        <f t="array" ref="G302">INDEX('Data Mahasiswa'!$Q$2:$Q$14, MATCH(MID('Data Status Pendaftar'!B302,5,3), 'Data Mahasiswa'!$N$2:$N$14&amp;TEXT('Data Mahasiswa'!$P$2:$P$14,"0"), 0))</f>
        <v>Biologi</v>
      </c>
      <c r="H302" s="6">
        <f t="shared" ca="1" si="13"/>
        <v>2</v>
      </c>
      <c r="I302" s="7">
        <f>INDEX('Data Mahasiswa'!$A$1:$J$701, MATCH('Data Status Pendaftar'!B302, 'Data Mahasiswa'!$A$1:$A$701, 0), 10)</f>
        <v>2.875</v>
      </c>
      <c r="J302" s="5" t="str" cm="1">
        <f t="array" ref="J302">INDEX('Data Mahasiswa'!B302:I302,MATCH(MIN(VLOOKUP('Data Mahasiswa'!B302:I302,'Data Mahasiswa'!$N$27:$O$36,2,0)),VLOOKUP('Data Mahasiswa'!B302:I302,'Data Mahasiswa'!$N$27:$O$36,2,0),0))</f>
        <v>D</v>
      </c>
      <c r="K302" s="5" t="str">
        <f t="shared" si="14"/>
        <v>Tidak Eligible</v>
      </c>
    </row>
    <row r="303" spans="1:11" x14ac:dyDescent="0.3">
      <c r="A303" s="8">
        <v>302</v>
      </c>
      <c r="B303" s="8" t="s">
        <v>353</v>
      </c>
      <c r="C303" s="8" t="s">
        <v>1068</v>
      </c>
      <c r="D303" s="8" t="s">
        <v>780</v>
      </c>
      <c r="E303" s="9">
        <f t="shared" si="12"/>
        <v>2025</v>
      </c>
      <c r="F303" s="8" t="str">
        <f>INDEX('Data Mahasiswa'!$N$1:$Q$14, MATCH(MID('Data Status Pendaftar'!B303, 5,2), 'Data Mahasiswa'!$N$1:$N$14,0),2)</f>
        <v>Sains</v>
      </c>
      <c r="G303" s="8" t="str" cm="1">
        <f t="array" ref="G303">INDEX('Data Mahasiswa'!$Q$2:$Q$14, MATCH(MID('Data Status Pendaftar'!B303,5,3), 'Data Mahasiswa'!$N$2:$N$14&amp;TEXT('Data Mahasiswa'!$P$2:$P$14,"0"), 0))</f>
        <v>Biologi</v>
      </c>
      <c r="H303" s="9">
        <f t="shared" ca="1" si="13"/>
        <v>2</v>
      </c>
      <c r="I303" s="10">
        <f>INDEX('Data Mahasiswa'!$A$1:$J$701, MATCH('Data Status Pendaftar'!B303, 'Data Mahasiswa'!$A$1:$A$701, 0), 10)</f>
        <v>3.4375</v>
      </c>
      <c r="J303" s="8" t="str" cm="1">
        <f t="array" ref="J303">INDEX('Data Mahasiswa'!B303:I303,MATCH(MIN(VLOOKUP('Data Mahasiswa'!B303:I303,'Data Mahasiswa'!$N$27:$O$36,2,0)),VLOOKUP('Data Mahasiswa'!B303:I303,'Data Mahasiswa'!$N$27:$O$36,2,0),0))</f>
        <v>B-</v>
      </c>
      <c r="K303" s="8" t="str">
        <f t="shared" si="14"/>
        <v>Eligible</v>
      </c>
    </row>
    <row r="304" spans="1:11" x14ac:dyDescent="0.3">
      <c r="A304" s="5">
        <v>303</v>
      </c>
      <c r="B304" s="5" t="s">
        <v>354</v>
      </c>
      <c r="C304" s="5" t="s">
        <v>791</v>
      </c>
      <c r="D304" s="5" t="s">
        <v>779</v>
      </c>
      <c r="E304" s="6">
        <f t="shared" si="12"/>
        <v>2025</v>
      </c>
      <c r="F304" s="5" t="str">
        <f>INDEX('Data Mahasiswa'!$N$1:$Q$14, MATCH(MID('Data Status Pendaftar'!B304, 5,2), 'Data Mahasiswa'!$N$1:$N$14,0),2)</f>
        <v>Sains</v>
      </c>
      <c r="G304" s="5" t="str" cm="1">
        <f t="array" ref="G304">INDEX('Data Mahasiswa'!$Q$2:$Q$14, MATCH(MID('Data Status Pendaftar'!B304,5,3), 'Data Mahasiswa'!$N$2:$N$14&amp;TEXT('Data Mahasiswa'!$P$2:$P$14,"0"), 0))</f>
        <v>Biologi</v>
      </c>
      <c r="H304" s="6">
        <f t="shared" ca="1" si="13"/>
        <v>2</v>
      </c>
      <c r="I304" s="7">
        <f>INDEX('Data Mahasiswa'!$A$1:$J$701, MATCH('Data Status Pendaftar'!B304, 'Data Mahasiswa'!$A$1:$A$701, 0), 10)</f>
        <v>3.1145833333333335</v>
      </c>
      <c r="J304" s="5" t="str" cm="1">
        <f t="array" ref="J304">INDEX('Data Mahasiswa'!B304:I304,MATCH(MIN(VLOOKUP('Data Mahasiswa'!B304:I304,'Data Mahasiswa'!$N$27:$O$36,2,0)),VLOOKUP('Data Mahasiswa'!B304:I304,'Data Mahasiswa'!$N$27:$O$36,2,0),0))</f>
        <v>D</v>
      </c>
      <c r="K304" s="5" t="str">
        <f t="shared" si="14"/>
        <v>Tidak Eligible</v>
      </c>
    </row>
    <row r="305" spans="1:11" x14ac:dyDescent="0.3">
      <c r="A305" s="8">
        <v>304</v>
      </c>
      <c r="B305" s="8" t="s">
        <v>355</v>
      </c>
      <c r="C305" s="8" t="s">
        <v>1069</v>
      </c>
      <c r="D305" s="8" t="s">
        <v>779</v>
      </c>
      <c r="E305" s="9">
        <f t="shared" si="12"/>
        <v>2025</v>
      </c>
      <c r="F305" s="8" t="str">
        <f>INDEX('Data Mahasiswa'!$N$1:$Q$14, MATCH(MID('Data Status Pendaftar'!B305, 5,2), 'Data Mahasiswa'!$N$1:$N$14,0),2)</f>
        <v>Sains</v>
      </c>
      <c r="G305" s="8" t="str" cm="1">
        <f t="array" ref="G305">INDEX('Data Mahasiswa'!$Q$2:$Q$14, MATCH(MID('Data Status Pendaftar'!B305,5,3), 'Data Mahasiswa'!$N$2:$N$14&amp;TEXT('Data Mahasiswa'!$P$2:$P$14,"0"), 0))</f>
        <v>Biologi</v>
      </c>
      <c r="H305" s="9">
        <f t="shared" ca="1" si="13"/>
        <v>2</v>
      </c>
      <c r="I305" s="10">
        <f>INDEX('Data Mahasiswa'!$A$1:$J$701, MATCH('Data Status Pendaftar'!B305, 'Data Mahasiswa'!$A$1:$A$701, 0), 10)</f>
        <v>3.15625</v>
      </c>
      <c r="J305" s="8" t="str" cm="1">
        <f t="array" ref="J305">INDEX('Data Mahasiswa'!B305:I305,MATCH(MIN(VLOOKUP('Data Mahasiswa'!B305:I305,'Data Mahasiswa'!$N$27:$O$36,2,0)),VLOOKUP('Data Mahasiswa'!B305:I305,'Data Mahasiswa'!$N$27:$O$36,2,0),0))</f>
        <v>C+</v>
      </c>
      <c r="K305" s="8" t="str">
        <f t="shared" si="14"/>
        <v>Eligible</v>
      </c>
    </row>
    <row r="306" spans="1:11" x14ac:dyDescent="0.3">
      <c r="A306" s="5">
        <v>305</v>
      </c>
      <c r="B306" s="5" t="s">
        <v>356</v>
      </c>
      <c r="C306" s="5" t="s">
        <v>1070</v>
      </c>
      <c r="D306" s="5" t="s">
        <v>780</v>
      </c>
      <c r="E306" s="6">
        <f t="shared" si="12"/>
        <v>2025</v>
      </c>
      <c r="F306" s="5" t="str">
        <f>INDEX('Data Mahasiswa'!$N$1:$Q$14, MATCH(MID('Data Status Pendaftar'!B306, 5,2), 'Data Mahasiswa'!$N$1:$N$14,0),2)</f>
        <v>Sains</v>
      </c>
      <c r="G306" s="5" t="str" cm="1">
        <f t="array" ref="G306">INDEX('Data Mahasiswa'!$Q$2:$Q$14, MATCH(MID('Data Status Pendaftar'!B306,5,3), 'Data Mahasiswa'!$N$2:$N$14&amp;TEXT('Data Mahasiswa'!$P$2:$P$14,"0"), 0))</f>
        <v>Biologi</v>
      </c>
      <c r="H306" s="6">
        <f t="shared" ca="1" si="13"/>
        <v>2</v>
      </c>
      <c r="I306" s="7">
        <f>INDEX('Data Mahasiswa'!$A$1:$J$701, MATCH('Data Status Pendaftar'!B306, 'Data Mahasiswa'!$A$1:$A$701, 0), 10)</f>
        <v>3.2291666666666665</v>
      </c>
      <c r="J306" s="5" t="str" cm="1">
        <f t="array" ref="J306">INDEX('Data Mahasiswa'!B306:I306,MATCH(MIN(VLOOKUP('Data Mahasiswa'!B306:I306,'Data Mahasiswa'!$N$27:$O$36,2,0)),VLOOKUP('Data Mahasiswa'!B306:I306,'Data Mahasiswa'!$N$27:$O$36,2,0),0))</f>
        <v>C+</v>
      </c>
      <c r="K306" s="5" t="str">
        <f t="shared" si="14"/>
        <v>Eligible</v>
      </c>
    </row>
    <row r="307" spans="1:11" x14ac:dyDescent="0.3">
      <c r="A307" s="8">
        <v>306</v>
      </c>
      <c r="B307" s="8" t="s">
        <v>357</v>
      </c>
      <c r="C307" s="8" t="s">
        <v>1071</v>
      </c>
      <c r="D307" s="8" t="s">
        <v>780</v>
      </c>
      <c r="E307" s="9">
        <f t="shared" si="12"/>
        <v>2025</v>
      </c>
      <c r="F307" s="8" t="str">
        <f>INDEX('Data Mahasiswa'!$N$1:$Q$14, MATCH(MID('Data Status Pendaftar'!B307, 5,2), 'Data Mahasiswa'!$N$1:$N$14,0),2)</f>
        <v>Teknik</v>
      </c>
      <c r="G307" s="8" t="str" cm="1">
        <f t="array" ref="G307">INDEX('Data Mahasiswa'!$Q$2:$Q$14, MATCH(MID('Data Status Pendaftar'!B307,5,3), 'Data Mahasiswa'!$N$2:$N$14&amp;TEXT('Data Mahasiswa'!$P$2:$P$14,"0"), 0))</f>
        <v>Teknik Informatika</v>
      </c>
      <c r="H307" s="9">
        <f t="shared" ca="1" si="13"/>
        <v>2</v>
      </c>
      <c r="I307" s="10">
        <f>INDEX('Data Mahasiswa'!$A$1:$J$701, MATCH('Data Status Pendaftar'!B307, 'Data Mahasiswa'!$A$1:$A$701, 0), 10)</f>
        <v>3.5104166666666665</v>
      </c>
      <c r="J307" s="8" t="str" cm="1">
        <f t="array" ref="J307">INDEX('Data Mahasiswa'!B307:I307,MATCH(MIN(VLOOKUP('Data Mahasiswa'!B307:I307,'Data Mahasiswa'!$N$27:$O$36,2,0)),VLOOKUP('Data Mahasiswa'!B307:I307,'Data Mahasiswa'!$N$27:$O$36,2,0),0))</f>
        <v>B-</v>
      </c>
      <c r="K307" s="8" t="str">
        <f t="shared" si="14"/>
        <v>Eligible</v>
      </c>
    </row>
    <row r="308" spans="1:11" x14ac:dyDescent="0.3">
      <c r="A308" s="5">
        <v>307</v>
      </c>
      <c r="B308" s="5" t="s">
        <v>358</v>
      </c>
      <c r="C308" s="5" t="s">
        <v>1072</v>
      </c>
      <c r="D308" s="5" t="s">
        <v>779</v>
      </c>
      <c r="E308" s="6">
        <f t="shared" si="12"/>
        <v>2025</v>
      </c>
      <c r="F308" s="5" t="str">
        <f>INDEX('Data Mahasiswa'!$N$1:$Q$14, MATCH(MID('Data Status Pendaftar'!B308, 5,2), 'Data Mahasiswa'!$N$1:$N$14,0),2)</f>
        <v>Teknik</v>
      </c>
      <c r="G308" s="5" t="str" cm="1">
        <f t="array" ref="G308">INDEX('Data Mahasiswa'!$Q$2:$Q$14, MATCH(MID('Data Status Pendaftar'!B308,5,3), 'Data Mahasiswa'!$N$2:$N$14&amp;TEXT('Data Mahasiswa'!$P$2:$P$14,"0"), 0))</f>
        <v>Teknik Informatika</v>
      </c>
      <c r="H308" s="6">
        <f t="shared" ca="1" si="13"/>
        <v>2</v>
      </c>
      <c r="I308" s="7">
        <f>INDEX('Data Mahasiswa'!$A$1:$J$701, MATCH('Data Status Pendaftar'!B308, 'Data Mahasiswa'!$A$1:$A$701, 0), 10)</f>
        <v>3.2083333333333335</v>
      </c>
      <c r="J308" s="5" t="str" cm="1">
        <f t="array" ref="J308">INDEX('Data Mahasiswa'!B308:I308,MATCH(MIN(VLOOKUP('Data Mahasiswa'!B308:I308,'Data Mahasiswa'!$N$27:$O$36,2,0)),VLOOKUP('Data Mahasiswa'!B308:I308,'Data Mahasiswa'!$N$27:$O$36,2,0),0))</f>
        <v>E</v>
      </c>
      <c r="K308" s="5" t="str">
        <f t="shared" si="14"/>
        <v>Tidak Eligible</v>
      </c>
    </row>
    <row r="309" spans="1:11" x14ac:dyDescent="0.3">
      <c r="A309" s="8">
        <v>308</v>
      </c>
      <c r="B309" s="8" t="s">
        <v>359</v>
      </c>
      <c r="C309" s="8" t="s">
        <v>1073</v>
      </c>
      <c r="D309" s="8" t="s">
        <v>779</v>
      </c>
      <c r="E309" s="9">
        <f t="shared" si="12"/>
        <v>2025</v>
      </c>
      <c r="F309" s="8" t="str">
        <f>INDEX('Data Mahasiswa'!$N$1:$Q$14, MATCH(MID('Data Status Pendaftar'!B309, 5,2), 'Data Mahasiswa'!$N$1:$N$14,0),2)</f>
        <v>Teknik</v>
      </c>
      <c r="G309" s="8" t="str" cm="1">
        <f t="array" ref="G309">INDEX('Data Mahasiswa'!$Q$2:$Q$14, MATCH(MID('Data Status Pendaftar'!B309,5,3), 'Data Mahasiswa'!$N$2:$N$14&amp;TEXT('Data Mahasiswa'!$P$2:$P$14,"0"), 0))</f>
        <v>Teknik Informatika</v>
      </c>
      <c r="H309" s="9">
        <f t="shared" ca="1" si="13"/>
        <v>2</v>
      </c>
      <c r="I309" s="10">
        <f>INDEX('Data Mahasiswa'!$A$1:$J$701, MATCH('Data Status Pendaftar'!B309, 'Data Mahasiswa'!$A$1:$A$701, 0), 10)</f>
        <v>2.8541666666666665</v>
      </c>
      <c r="J309" s="8" t="str" cm="1">
        <f t="array" ref="J309">INDEX('Data Mahasiswa'!B309:I309,MATCH(MIN(VLOOKUP('Data Mahasiswa'!B309:I309,'Data Mahasiswa'!$N$27:$O$36,2,0)),VLOOKUP('Data Mahasiswa'!B309:I309,'Data Mahasiswa'!$N$27:$O$36,2,0),0))</f>
        <v>E</v>
      </c>
      <c r="K309" s="8" t="str">
        <f t="shared" si="14"/>
        <v>Tidak Eligible</v>
      </c>
    </row>
    <row r="310" spans="1:11" x14ac:dyDescent="0.3">
      <c r="A310" s="5">
        <v>309</v>
      </c>
      <c r="B310" s="5" t="s">
        <v>360</v>
      </c>
      <c r="C310" s="5" t="s">
        <v>1074</v>
      </c>
      <c r="D310" s="5" t="s">
        <v>780</v>
      </c>
      <c r="E310" s="6">
        <f t="shared" si="12"/>
        <v>2025</v>
      </c>
      <c r="F310" s="5" t="str">
        <f>INDEX('Data Mahasiswa'!$N$1:$Q$14, MATCH(MID('Data Status Pendaftar'!B310, 5,2), 'Data Mahasiswa'!$N$1:$N$14,0),2)</f>
        <v>Teknik</v>
      </c>
      <c r="G310" s="5" t="str" cm="1">
        <f t="array" ref="G310">INDEX('Data Mahasiswa'!$Q$2:$Q$14, MATCH(MID('Data Status Pendaftar'!B310,5,3), 'Data Mahasiswa'!$N$2:$N$14&amp;TEXT('Data Mahasiswa'!$P$2:$P$14,"0"), 0))</f>
        <v>Teknik Informatika</v>
      </c>
      <c r="H310" s="6">
        <f t="shared" ca="1" si="13"/>
        <v>2</v>
      </c>
      <c r="I310" s="7">
        <f>INDEX('Data Mahasiswa'!$A$1:$J$701, MATCH('Data Status Pendaftar'!B310, 'Data Mahasiswa'!$A$1:$A$701, 0), 10)</f>
        <v>2.84375</v>
      </c>
      <c r="J310" s="5" t="str" cm="1">
        <f t="array" ref="J310">INDEX('Data Mahasiswa'!B310:I310,MATCH(MIN(VLOOKUP('Data Mahasiswa'!B310:I310,'Data Mahasiswa'!$N$27:$O$36,2,0)),VLOOKUP('Data Mahasiswa'!B310:I310,'Data Mahasiswa'!$N$27:$O$36,2,0),0))</f>
        <v>D</v>
      </c>
      <c r="K310" s="5" t="str">
        <f t="shared" si="14"/>
        <v>Tidak Eligible</v>
      </c>
    </row>
    <row r="311" spans="1:11" x14ac:dyDescent="0.3">
      <c r="A311" s="8">
        <v>310</v>
      </c>
      <c r="B311" s="8" t="s">
        <v>361</v>
      </c>
      <c r="C311" s="8" t="s">
        <v>1075</v>
      </c>
      <c r="D311" s="8" t="s">
        <v>779</v>
      </c>
      <c r="E311" s="9">
        <f t="shared" si="12"/>
        <v>2025</v>
      </c>
      <c r="F311" s="8" t="str">
        <f>INDEX('Data Mahasiswa'!$N$1:$Q$14, MATCH(MID('Data Status Pendaftar'!B311, 5,2), 'Data Mahasiswa'!$N$1:$N$14,0),2)</f>
        <v>Teknik</v>
      </c>
      <c r="G311" s="8" t="str" cm="1">
        <f t="array" ref="G311">INDEX('Data Mahasiswa'!$Q$2:$Q$14, MATCH(MID('Data Status Pendaftar'!B311,5,3), 'Data Mahasiswa'!$N$2:$N$14&amp;TEXT('Data Mahasiswa'!$P$2:$P$14,"0"), 0))</f>
        <v>Teknik Informatika</v>
      </c>
      <c r="H311" s="9">
        <f t="shared" ca="1" si="13"/>
        <v>2</v>
      </c>
      <c r="I311" s="10">
        <f>INDEX('Data Mahasiswa'!$A$1:$J$701, MATCH('Data Status Pendaftar'!B311, 'Data Mahasiswa'!$A$1:$A$701, 0), 10)</f>
        <v>2.9479166666666665</v>
      </c>
      <c r="J311" s="8" t="str" cm="1">
        <f t="array" ref="J311">INDEX('Data Mahasiswa'!B311:I311,MATCH(MIN(VLOOKUP('Data Mahasiswa'!B311:I311,'Data Mahasiswa'!$N$27:$O$36,2,0)),VLOOKUP('Data Mahasiswa'!B311:I311,'Data Mahasiswa'!$N$27:$O$36,2,0),0))</f>
        <v>C</v>
      </c>
      <c r="K311" s="8" t="str">
        <f t="shared" si="14"/>
        <v>Eligible</v>
      </c>
    </row>
    <row r="312" spans="1:11" x14ac:dyDescent="0.3">
      <c r="A312" s="5">
        <v>311</v>
      </c>
      <c r="B312" s="5" t="s">
        <v>362</v>
      </c>
      <c r="C312" s="5" t="s">
        <v>1076</v>
      </c>
      <c r="D312" s="5" t="s">
        <v>779</v>
      </c>
      <c r="E312" s="6">
        <f t="shared" si="12"/>
        <v>2025</v>
      </c>
      <c r="F312" s="5" t="str">
        <f>INDEX('Data Mahasiswa'!$N$1:$Q$14, MATCH(MID('Data Status Pendaftar'!B312, 5,2), 'Data Mahasiswa'!$N$1:$N$14,0),2)</f>
        <v>Teknik</v>
      </c>
      <c r="G312" s="5" t="str" cm="1">
        <f t="array" ref="G312">INDEX('Data Mahasiswa'!$Q$2:$Q$14, MATCH(MID('Data Status Pendaftar'!B312,5,3), 'Data Mahasiswa'!$N$2:$N$14&amp;TEXT('Data Mahasiswa'!$P$2:$P$14,"0"), 0))</f>
        <v>Teknik Informatika</v>
      </c>
      <c r="H312" s="6">
        <f t="shared" ca="1" si="13"/>
        <v>2</v>
      </c>
      <c r="I312" s="7">
        <f>INDEX('Data Mahasiswa'!$A$1:$J$701, MATCH('Data Status Pendaftar'!B312, 'Data Mahasiswa'!$A$1:$A$701, 0), 10)</f>
        <v>3.09375</v>
      </c>
      <c r="J312" s="5" t="str" cm="1">
        <f t="array" ref="J312">INDEX('Data Mahasiswa'!B312:I312,MATCH(MIN(VLOOKUP('Data Mahasiswa'!B312:I312,'Data Mahasiswa'!$N$27:$O$36,2,0)),VLOOKUP('Data Mahasiswa'!B312:I312,'Data Mahasiswa'!$N$27:$O$36,2,0),0))</f>
        <v>C+</v>
      </c>
      <c r="K312" s="5" t="str">
        <f t="shared" si="14"/>
        <v>Eligible</v>
      </c>
    </row>
    <row r="313" spans="1:11" x14ac:dyDescent="0.3">
      <c r="A313" s="8">
        <v>312</v>
      </c>
      <c r="B313" s="8" t="s">
        <v>363</v>
      </c>
      <c r="C313" s="8" t="s">
        <v>1077</v>
      </c>
      <c r="D313" s="8" t="s">
        <v>779</v>
      </c>
      <c r="E313" s="9">
        <f t="shared" si="12"/>
        <v>2025</v>
      </c>
      <c r="F313" s="8" t="str">
        <f>INDEX('Data Mahasiswa'!$N$1:$Q$14, MATCH(MID('Data Status Pendaftar'!B313, 5,2), 'Data Mahasiswa'!$N$1:$N$14,0),2)</f>
        <v>Teknik</v>
      </c>
      <c r="G313" s="8" t="str" cm="1">
        <f t="array" ref="G313">INDEX('Data Mahasiswa'!$Q$2:$Q$14, MATCH(MID('Data Status Pendaftar'!B313,5,3), 'Data Mahasiswa'!$N$2:$N$14&amp;TEXT('Data Mahasiswa'!$P$2:$P$14,"0"), 0))</f>
        <v>Teknik Informatika</v>
      </c>
      <c r="H313" s="9">
        <f t="shared" ca="1" si="13"/>
        <v>2</v>
      </c>
      <c r="I313" s="10">
        <f>INDEX('Data Mahasiswa'!$A$1:$J$701, MATCH('Data Status Pendaftar'!B313, 'Data Mahasiswa'!$A$1:$A$701, 0), 10)</f>
        <v>3.2083333333333335</v>
      </c>
      <c r="J313" s="8" t="str" cm="1">
        <f t="array" ref="J313">INDEX('Data Mahasiswa'!B313:I313,MATCH(MIN(VLOOKUP('Data Mahasiswa'!B313:I313,'Data Mahasiswa'!$N$27:$O$36,2,0)),VLOOKUP('Data Mahasiswa'!B313:I313,'Data Mahasiswa'!$N$27:$O$36,2,0),0))</f>
        <v>C+</v>
      </c>
      <c r="K313" s="8" t="str">
        <f t="shared" si="14"/>
        <v>Eligible</v>
      </c>
    </row>
    <row r="314" spans="1:11" x14ac:dyDescent="0.3">
      <c r="A314" s="5">
        <v>313</v>
      </c>
      <c r="B314" s="5" t="s">
        <v>364</v>
      </c>
      <c r="C314" s="5" t="s">
        <v>1078</v>
      </c>
      <c r="D314" s="5" t="s">
        <v>779</v>
      </c>
      <c r="E314" s="6">
        <f t="shared" si="12"/>
        <v>2025</v>
      </c>
      <c r="F314" s="5" t="str">
        <f>INDEX('Data Mahasiswa'!$N$1:$Q$14, MATCH(MID('Data Status Pendaftar'!B314, 5,2), 'Data Mahasiswa'!$N$1:$N$14,0),2)</f>
        <v>Teknik</v>
      </c>
      <c r="G314" s="5" t="str" cm="1">
        <f t="array" ref="G314">INDEX('Data Mahasiswa'!$Q$2:$Q$14, MATCH(MID('Data Status Pendaftar'!B314,5,3), 'Data Mahasiswa'!$N$2:$N$14&amp;TEXT('Data Mahasiswa'!$P$2:$P$14,"0"), 0))</f>
        <v>Teknik Informatika</v>
      </c>
      <c r="H314" s="6">
        <f t="shared" ca="1" si="13"/>
        <v>2</v>
      </c>
      <c r="I314" s="7">
        <f>INDEX('Data Mahasiswa'!$A$1:$J$701, MATCH('Data Status Pendaftar'!B314, 'Data Mahasiswa'!$A$1:$A$701, 0), 10)</f>
        <v>2.7604166666666665</v>
      </c>
      <c r="J314" s="5" t="str" cm="1">
        <f t="array" ref="J314">INDEX('Data Mahasiswa'!B314:I314,MATCH(MIN(VLOOKUP('Data Mahasiswa'!B314:I314,'Data Mahasiswa'!$N$27:$O$36,2,0)),VLOOKUP('Data Mahasiswa'!B314:I314,'Data Mahasiswa'!$N$27:$O$36,2,0),0))</f>
        <v>D</v>
      </c>
      <c r="K314" s="5" t="str">
        <f t="shared" si="14"/>
        <v>Tidak Eligible</v>
      </c>
    </row>
    <row r="315" spans="1:11" x14ac:dyDescent="0.3">
      <c r="A315" s="8">
        <v>314</v>
      </c>
      <c r="B315" s="8" t="s">
        <v>365</v>
      </c>
      <c r="C315" s="8" t="s">
        <v>1079</v>
      </c>
      <c r="D315" s="8" t="s">
        <v>780</v>
      </c>
      <c r="E315" s="9">
        <f t="shared" si="12"/>
        <v>2025</v>
      </c>
      <c r="F315" s="8" t="str">
        <f>INDEX('Data Mahasiswa'!$N$1:$Q$14, MATCH(MID('Data Status Pendaftar'!B315, 5,2), 'Data Mahasiswa'!$N$1:$N$14,0),2)</f>
        <v>Teknik</v>
      </c>
      <c r="G315" s="8" t="str" cm="1">
        <f t="array" ref="G315">INDEX('Data Mahasiswa'!$Q$2:$Q$14, MATCH(MID('Data Status Pendaftar'!B315,5,3), 'Data Mahasiswa'!$N$2:$N$14&amp;TEXT('Data Mahasiswa'!$P$2:$P$14,"0"), 0))</f>
        <v>Teknik Informatika</v>
      </c>
      <c r="H315" s="9">
        <f t="shared" ca="1" si="13"/>
        <v>2</v>
      </c>
      <c r="I315" s="10">
        <f>INDEX('Data Mahasiswa'!$A$1:$J$701, MATCH('Data Status Pendaftar'!B315, 'Data Mahasiswa'!$A$1:$A$701, 0), 10)</f>
        <v>3.40625</v>
      </c>
      <c r="J315" s="8" t="str" cm="1">
        <f t="array" ref="J315">INDEX('Data Mahasiswa'!B315:I315,MATCH(MIN(VLOOKUP('Data Mahasiswa'!B315:I315,'Data Mahasiswa'!$N$27:$O$36,2,0)),VLOOKUP('Data Mahasiswa'!B315:I315,'Data Mahasiswa'!$N$27:$O$36,2,0),0))</f>
        <v>D</v>
      </c>
      <c r="K315" s="8" t="str">
        <f t="shared" si="14"/>
        <v>Tidak Eligible</v>
      </c>
    </row>
    <row r="316" spans="1:11" x14ac:dyDescent="0.3">
      <c r="A316" s="5">
        <v>315</v>
      </c>
      <c r="B316" s="5" t="s">
        <v>366</v>
      </c>
      <c r="C316" s="5" t="s">
        <v>1080</v>
      </c>
      <c r="D316" s="5" t="s">
        <v>779</v>
      </c>
      <c r="E316" s="6">
        <f t="shared" si="12"/>
        <v>2025</v>
      </c>
      <c r="F316" s="5" t="str">
        <f>INDEX('Data Mahasiswa'!$N$1:$Q$14, MATCH(MID('Data Status Pendaftar'!B316, 5,2), 'Data Mahasiswa'!$N$1:$N$14,0),2)</f>
        <v>Teknik</v>
      </c>
      <c r="G316" s="5" t="str" cm="1">
        <f t="array" ref="G316">INDEX('Data Mahasiswa'!$Q$2:$Q$14, MATCH(MID('Data Status Pendaftar'!B316,5,3), 'Data Mahasiswa'!$N$2:$N$14&amp;TEXT('Data Mahasiswa'!$P$2:$P$14,"0"), 0))</f>
        <v>Teknik Informatika</v>
      </c>
      <c r="H316" s="6">
        <f t="shared" ca="1" si="13"/>
        <v>2</v>
      </c>
      <c r="I316" s="7">
        <f>INDEX('Data Mahasiswa'!$A$1:$J$701, MATCH('Data Status Pendaftar'!B316, 'Data Mahasiswa'!$A$1:$A$701, 0), 10)</f>
        <v>3.2083333333333335</v>
      </c>
      <c r="J316" s="5" t="str" cm="1">
        <f t="array" ref="J316">INDEX('Data Mahasiswa'!B316:I316,MATCH(MIN(VLOOKUP('Data Mahasiswa'!B316:I316,'Data Mahasiswa'!$N$27:$O$36,2,0)),VLOOKUP('Data Mahasiswa'!B316:I316,'Data Mahasiswa'!$N$27:$O$36,2,0),0))</f>
        <v>C</v>
      </c>
      <c r="K316" s="5" t="str">
        <f t="shared" si="14"/>
        <v>Eligible</v>
      </c>
    </row>
    <row r="317" spans="1:11" x14ac:dyDescent="0.3">
      <c r="A317" s="8">
        <v>316</v>
      </c>
      <c r="B317" s="8" t="s">
        <v>367</v>
      </c>
      <c r="C317" s="8" t="s">
        <v>1081</v>
      </c>
      <c r="D317" s="8" t="s">
        <v>780</v>
      </c>
      <c r="E317" s="9">
        <f t="shared" si="12"/>
        <v>2025</v>
      </c>
      <c r="F317" s="8" t="str">
        <f>INDEX('Data Mahasiswa'!$N$1:$Q$14, MATCH(MID('Data Status Pendaftar'!B317, 5,2), 'Data Mahasiswa'!$N$1:$N$14,0),2)</f>
        <v>Teknik</v>
      </c>
      <c r="G317" s="8" t="str" cm="1">
        <f t="array" ref="G317">INDEX('Data Mahasiswa'!$Q$2:$Q$14, MATCH(MID('Data Status Pendaftar'!B317,5,3), 'Data Mahasiswa'!$N$2:$N$14&amp;TEXT('Data Mahasiswa'!$P$2:$P$14,"0"), 0))</f>
        <v>Teknik Informatika</v>
      </c>
      <c r="H317" s="9">
        <f t="shared" ca="1" si="13"/>
        <v>2</v>
      </c>
      <c r="I317" s="10">
        <f>INDEX('Data Mahasiswa'!$A$1:$J$701, MATCH('Data Status Pendaftar'!B317, 'Data Mahasiswa'!$A$1:$A$701, 0), 10)</f>
        <v>3.1145833333333335</v>
      </c>
      <c r="J317" s="8" t="str" cm="1">
        <f t="array" ref="J317">INDEX('Data Mahasiswa'!B317:I317,MATCH(MIN(VLOOKUP('Data Mahasiswa'!B317:I317,'Data Mahasiswa'!$N$27:$O$36,2,0)),VLOOKUP('Data Mahasiswa'!B317:I317,'Data Mahasiswa'!$N$27:$O$36,2,0),0))</f>
        <v>C+</v>
      </c>
      <c r="K317" s="8" t="str">
        <f t="shared" si="14"/>
        <v>Eligible</v>
      </c>
    </row>
    <row r="318" spans="1:11" x14ac:dyDescent="0.3">
      <c r="A318" s="5">
        <v>317</v>
      </c>
      <c r="B318" s="5" t="s">
        <v>368</v>
      </c>
      <c r="C318" s="5" t="s">
        <v>1082</v>
      </c>
      <c r="D318" s="5" t="s">
        <v>779</v>
      </c>
      <c r="E318" s="6">
        <f t="shared" si="12"/>
        <v>2025</v>
      </c>
      <c r="F318" s="5" t="str">
        <f>INDEX('Data Mahasiswa'!$N$1:$Q$14, MATCH(MID('Data Status Pendaftar'!B318, 5,2), 'Data Mahasiswa'!$N$1:$N$14,0),2)</f>
        <v>Teknik</v>
      </c>
      <c r="G318" s="5" t="str" cm="1">
        <f t="array" ref="G318">INDEX('Data Mahasiswa'!$Q$2:$Q$14, MATCH(MID('Data Status Pendaftar'!B318,5,3), 'Data Mahasiswa'!$N$2:$N$14&amp;TEXT('Data Mahasiswa'!$P$2:$P$14,"0"), 0))</f>
        <v>Teknik Informatika</v>
      </c>
      <c r="H318" s="6">
        <f t="shared" ca="1" si="13"/>
        <v>2</v>
      </c>
      <c r="I318" s="7">
        <f>INDEX('Data Mahasiswa'!$A$1:$J$701, MATCH('Data Status Pendaftar'!B318, 'Data Mahasiswa'!$A$1:$A$701, 0), 10)</f>
        <v>3.3854166666666665</v>
      </c>
      <c r="J318" s="5" t="str" cm="1">
        <f t="array" ref="J318">INDEX('Data Mahasiswa'!B318:I318,MATCH(MIN(VLOOKUP('Data Mahasiswa'!B318:I318,'Data Mahasiswa'!$N$27:$O$36,2,0)),VLOOKUP('Data Mahasiswa'!B318:I318,'Data Mahasiswa'!$N$27:$O$36,2,0),0))</f>
        <v>C</v>
      </c>
      <c r="K318" s="5" t="str">
        <f t="shared" si="14"/>
        <v>Eligible</v>
      </c>
    </row>
    <row r="319" spans="1:11" x14ac:dyDescent="0.3">
      <c r="A319" s="8">
        <v>318</v>
      </c>
      <c r="B319" s="8" t="s">
        <v>369</v>
      </c>
      <c r="C319" s="8" t="s">
        <v>1083</v>
      </c>
      <c r="D319" s="8" t="s">
        <v>779</v>
      </c>
      <c r="E319" s="9">
        <f t="shared" si="12"/>
        <v>2025</v>
      </c>
      <c r="F319" s="8" t="str">
        <f>INDEX('Data Mahasiswa'!$N$1:$Q$14, MATCH(MID('Data Status Pendaftar'!B319, 5,2), 'Data Mahasiswa'!$N$1:$N$14,0),2)</f>
        <v>Teknik</v>
      </c>
      <c r="G319" s="8" t="str" cm="1">
        <f t="array" ref="G319">INDEX('Data Mahasiswa'!$Q$2:$Q$14, MATCH(MID('Data Status Pendaftar'!B319,5,3), 'Data Mahasiswa'!$N$2:$N$14&amp;TEXT('Data Mahasiswa'!$P$2:$P$14,"0"), 0))</f>
        <v>Teknik Informatika</v>
      </c>
      <c r="H319" s="9">
        <f t="shared" ca="1" si="13"/>
        <v>2</v>
      </c>
      <c r="I319" s="10">
        <f>INDEX('Data Mahasiswa'!$A$1:$J$701, MATCH('Data Status Pendaftar'!B319, 'Data Mahasiswa'!$A$1:$A$701, 0), 10)</f>
        <v>2.125</v>
      </c>
      <c r="J319" s="8" t="str" cm="1">
        <f t="array" ref="J319">INDEX('Data Mahasiswa'!B319:I319,MATCH(MIN(VLOOKUP('Data Mahasiswa'!B319:I319,'Data Mahasiswa'!$N$27:$O$36,2,0)),VLOOKUP('Data Mahasiswa'!B319:I319,'Data Mahasiswa'!$N$27:$O$36,2,0),0))</f>
        <v>E</v>
      </c>
      <c r="K319" s="8" t="str">
        <f t="shared" si="14"/>
        <v>Tidak Eligible</v>
      </c>
    </row>
    <row r="320" spans="1:11" x14ac:dyDescent="0.3">
      <c r="A320" s="5">
        <v>319</v>
      </c>
      <c r="B320" s="5" t="s">
        <v>370</v>
      </c>
      <c r="C320" s="5" t="s">
        <v>1084</v>
      </c>
      <c r="D320" s="5" t="s">
        <v>780</v>
      </c>
      <c r="E320" s="6">
        <f t="shared" si="12"/>
        <v>2025</v>
      </c>
      <c r="F320" s="5" t="str">
        <f>INDEX('Data Mahasiswa'!$N$1:$Q$14, MATCH(MID('Data Status Pendaftar'!B320, 5,2), 'Data Mahasiswa'!$N$1:$N$14,0),2)</f>
        <v>Teknik</v>
      </c>
      <c r="G320" s="5" t="str" cm="1">
        <f t="array" ref="G320">INDEX('Data Mahasiswa'!$Q$2:$Q$14, MATCH(MID('Data Status Pendaftar'!B320,5,3), 'Data Mahasiswa'!$N$2:$N$14&amp;TEXT('Data Mahasiswa'!$P$2:$P$14,"0"), 0))</f>
        <v>Teknik Informatika</v>
      </c>
      <c r="H320" s="6">
        <f t="shared" ca="1" si="13"/>
        <v>2</v>
      </c>
      <c r="I320" s="7">
        <f>INDEX('Data Mahasiswa'!$A$1:$J$701, MATCH('Data Status Pendaftar'!B320, 'Data Mahasiswa'!$A$1:$A$701, 0), 10)</f>
        <v>2.875</v>
      </c>
      <c r="J320" s="5" t="str" cm="1">
        <f t="array" ref="J320">INDEX('Data Mahasiswa'!B320:I320,MATCH(MIN(VLOOKUP('Data Mahasiswa'!B320:I320,'Data Mahasiswa'!$N$27:$O$36,2,0)),VLOOKUP('Data Mahasiswa'!B320:I320,'Data Mahasiswa'!$N$27:$O$36,2,0),0))</f>
        <v>D</v>
      </c>
      <c r="K320" s="5" t="str">
        <f t="shared" si="14"/>
        <v>Tidak Eligible</v>
      </c>
    </row>
    <row r="321" spans="1:11" x14ac:dyDescent="0.3">
      <c r="A321" s="8">
        <v>320</v>
      </c>
      <c r="B321" s="8" t="s">
        <v>371</v>
      </c>
      <c r="C321" s="8" t="s">
        <v>1085</v>
      </c>
      <c r="D321" s="8" t="s">
        <v>780</v>
      </c>
      <c r="E321" s="9">
        <f t="shared" si="12"/>
        <v>2025</v>
      </c>
      <c r="F321" s="8" t="str">
        <f>INDEX('Data Mahasiswa'!$N$1:$Q$14, MATCH(MID('Data Status Pendaftar'!B321, 5,2), 'Data Mahasiswa'!$N$1:$N$14,0),2)</f>
        <v>Teknik</v>
      </c>
      <c r="G321" s="8" t="str" cm="1">
        <f t="array" ref="G321">INDEX('Data Mahasiswa'!$Q$2:$Q$14, MATCH(MID('Data Status Pendaftar'!B321,5,3), 'Data Mahasiswa'!$N$2:$N$14&amp;TEXT('Data Mahasiswa'!$P$2:$P$14,"0"), 0))</f>
        <v>Teknik Informatika</v>
      </c>
      <c r="H321" s="9">
        <f t="shared" ca="1" si="13"/>
        <v>2</v>
      </c>
      <c r="I321" s="10">
        <f>INDEX('Data Mahasiswa'!$A$1:$J$701, MATCH('Data Status Pendaftar'!B321, 'Data Mahasiswa'!$A$1:$A$701, 0), 10)</f>
        <v>3.1979166666666665</v>
      </c>
      <c r="J321" s="8" t="str" cm="1">
        <f t="array" ref="J321">INDEX('Data Mahasiswa'!B321:I321,MATCH(MIN(VLOOKUP('Data Mahasiswa'!B321:I321,'Data Mahasiswa'!$N$27:$O$36,2,0)),VLOOKUP('Data Mahasiswa'!B321:I321,'Data Mahasiswa'!$N$27:$O$36,2,0),0))</f>
        <v>C</v>
      </c>
      <c r="K321" s="8" t="str">
        <f t="shared" si="14"/>
        <v>Eligible</v>
      </c>
    </row>
    <row r="322" spans="1:11" x14ac:dyDescent="0.3">
      <c r="A322" s="5">
        <v>321</v>
      </c>
      <c r="B322" s="5" t="s">
        <v>372</v>
      </c>
      <c r="C322" s="5" t="s">
        <v>1086</v>
      </c>
      <c r="D322" s="5" t="s">
        <v>780</v>
      </c>
      <c r="E322" s="6">
        <f t="shared" si="12"/>
        <v>2025</v>
      </c>
      <c r="F322" s="5" t="str">
        <f>INDEX('Data Mahasiswa'!$N$1:$Q$14, MATCH(MID('Data Status Pendaftar'!B322, 5,2), 'Data Mahasiswa'!$N$1:$N$14,0),2)</f>
        <v>Teknik</v>
      </c>
      <c r="G322" s="5" t="str" cm="1">
        <f t="array" ref="G322">INDEX('Data Mahasiswa'!$Q$2:$Q$14, MATCH(MID('Data Status Pendaftar'!B322,5,3), 'Data Mahasiswa'!$N$2:$N$14&amp;TEXT('Data Mahasiswa'!$P$2:$P$14,"0"), 0))</f>
        <v>Teknik Industri</v>
      </c>
      <c r="H322" s="6">
        <f t="shared" ca="1" si="13"/>
        <v>2</v>
      </c>
      <c r="I322" s="7">
        <f>INDEX('Data Mahasiswa'!$A$1:$J$701, MATCH('Data Status Pendaftar'!B322, 'Data Mahasiswa'!$A$1:$A$701, 0), 10)</f>
        <v>3.2916666666666665</v>
      </c>
      <c r="J322" s="5" t="str" cm="1">
        <f t="array" ref="J322">INDEX('Data Mahasiswa'!B322:I322,MATCH(MIN(VLOOKUP('Data Mahasiswa'!B322:I322,'Data Mahasiswa'!$N$27:$O$36,2,0)),VLOOKUP('Data Mahasiswa'!B322:I322,'Data Mahasiswa'!$N$27:$O$36,2,0),0))</f>
        <v>B-</v>
      </c>
      <c r="K322" s="5" t="str">
        <f t="shared" si="14"/>
        <v>Eligible</v>
      </c>
    </row>
    <row r="323" spans="1:11" x14ac:dyDescent="0.3">
      <c r="A323" s="8">
        <v>322</v>
      </c>
      <c r="B323" s="8" t="s">
        <v>373</v>
      </c>
      <c r="C323" s="8" t="s">
        <v>1087</v>
      </c>
      <c r="D323" s="8" t="s">
        <v>779</v>
      </c>
      <c r="E323" s="9">
        <f t="shared" ref="E323:E386" si="15">LEFT(B323,2)+2000</f>
        <v>2025</v>
      </c>
      <c r="F323" s="8" t="str">
        <f>INDEX('Data Mahasiswa'!$N$1:$Q$14, MATCH(MID('Data Status Pendaftar'!B323, 5,2), 'Data Mahasiswa'!$N$1:$N$14,0),2)</f>
        <v>Teknik</v>
      </c>
      <c r="G323" s="8" t="str" cm="1">
        <f t="array" ref="G323">INDEX('Data Mahasiswa'!$Q$2:$Q$14, MATCH(MID('Data Status Pendaftar'!B323,5,3), 'Data Mahasiswa'!$N$2:$N$14&amp;TEXT('Data Mahasiswa'!$P$2:$P$14,"0"), 0))</f>
        <v>Teknik Industri</v>
      </c>
      <c r="H323" s="9">
        <f t="shared" ref="H323:H386" ca="1" si="16">(YEAR(TODAY())-E323)*2</f>
        <v>2</v>
      </c>
      <c r="I323" s="10">
        <f>INDEX('Data Mahasiswa'!$A$1:$J$701, MATCH('Data Status Pendaftar'!B323, 'Data Mahasiswa'!$A$1:$A$701, 0), 10)</f>
        <v>3.46875</v>
      </c>
      <c r="J323" s="8" t="str" cm="1">
        <f t="array" ref="J323">INDEX('Data Mahasiswa'!B323:I323,MATCH(MIN(VLOOKUP('Data Mahasiswa'!B323:I323,'Data Mahasiswa'!$N$27:$O$36,2,0)),VLOOKUP('Data Mahasiswa'!B323:I323,'Data Mahasiswa'!$N$27:$O$36,2,0),0))</f>
        <v>C</v>
      </c>
      <c r="K323" s="8" t="str">
        <f t="shared" ref="K323:K386" si="17">IF(AND(E323=2025,I323&gt;=2.75,OR(J323="A",J323="A-",J323="B+",J323="B",J323="B-",J323="C+",J323="C",J323="C-")),"Eligible","Tidak Eligible")</f>
        <v>Eligible</v>
      </c>
    </row>
    <row r="324" spans="1:11" x14ac:dyDescent="0.3">
      <c r="A324" s="5">
        <v>323</v>
      </c>
      <c r="B324" s="5" t="s">
        <v>374</v>
      </c>
      <c r="C324" s="5" t="s">
        <v>1088</v>
      </c>
      <c r="D324" s="5" t="s">
        <v>779</v>
      </c>
      <c r="E324" s="6">
        <f t="shared" si="15"/>
        <v>2025</v>
      </c>
      <c r="F324" s="5" t="str">
        <f>INDEX('Data Mahasiswa'!$N$1:$Q$14, MATCH(MID('Data Status Pendaftar'!B324, 5,2), 'Data Mahasiswa'!$N$1:$N$14,0),2)</f>
        <v>Teknik</v>
      </c>
      <c r="G324" s="5" t="str" cm="1">
        <f t="array" ref="G324">INDEX('Data Mahasiswa'!$Q$2:$Q$14, MATCH(MID('Data Status Pendaftar'!B324,5,3), 'Data Mahasiswa'!$N$2:$N$14&amp;TEXT('Data Mahasiswa'!$P$2:$P$14,"0"), 0))</f>
        <v>Teknik Industri</v>
      </c>
      <c r="H324" s="6">
        <f t="shared" ca="1" si="16"/>
        <v>2</v>
      </c>
      <c r="I324" s="7">
        <f>INDEX('Data Mahasiswa'!$A$1:$J$701, MATCH('Data Status Pendaftar'!B324, 'Data Mahasiswa'!$A$1:$A$701, 0), 10)</f>
        <v>3.3125</v>
      </c>
      <c r="J324" s="5" t="str" cm="1">
        <f t="array" ref="J324">INDEX('Data Mahasiswa'!B324:I324,MATCH(MIN(VLOOKUP('Data Mahasiswa'!B324:I324,'Data Mahasiswa'!$N$27:$O$36,2,0)),VLOOKUP('Data Mahasiswa'!B324:I324,'Data Mahasiswa'!$N$27:$O$36,2,0),0))</f>
        <v>B</v>
      </c>
      <c r="K324" s="5" t="str">
        <f t="shared" si="17"/>
        <v>Eligible</v>
      </c>
    </row>
    <row r="325" spans="1:11" x14ac:dyDescent="0.3">
      <c r="A325" s="8">
        <v>324</v>
      </c>
      <c r="B325" s="8" t="s">
        <v>375</v>
      </c>
      <c r="C325" s="8" t="s">
        <v>1089</v>
      </c>
      <c r="D325" s="8" t="s">
        <v>780</v>
      </c>
      <c r="E325" s="9">
        <f t="shared" si="15"/>
        <v>2025</v>
      </c>
      <c r="F325" s="8" t="str">
        <f>INDEX('Data Mahasiswa'!$N$1:$Q$14, MATCH(MID('Data Status Pendaftar'!B325, 5,2), 'Data Mahasiswa'!$N$1:$N$14,0),2)</f>
        <v>Teknik</v>
      </c>
      <c r="G325" s="8" t="str" cm="1">
        <f t="array" ref="G325">INDEX('Data Mahasiswa'!$Q$2:$Q$14, MATCH(MID('Data Status Pendaftar'!B325,5,3), 'Data Mahasiswa'!$N$2:$N$14&amp;TEXT('Data Mahasiswa'!$P$2:$P$14,"0"), 0))</f>
        <v>Teknik Industri</v>
      </c>
      <c r="H325" s="9">
        <f t="shared" ca="1" si="16"/>
        <v>2</v>
      </c>
      <c r="I325" s="10">
        <f>INDEX('Data Mahasiswa'!$A$1:$J$701, MATCH('Data Status Pendaftar'!B325, 'Data Mahasiswa'!$A$1:$A$701, 0), 10)</f>
        <v>3.25</v>
      </c>
      <c r="J325" s="8" t="str" cm="1">
        <f t="array" ref="J325">INDEX('Data Mahasiswa'!B325:I325,MATCH(MIN(VLOOKUP('Data Mahasiswa'!B325:I325,'Data Mahasiswa'!$N$27:$O$36,2,0)),VLOOKUP('Data Mahasiswa'!B325:I325,'Data Mahasiswa'!$N$27:$O$36,2,0),0))</f>
        <v>C</v>
      </c>
      <c r="K325" s="8" t="str">
        <f t="shared" si="17"/>
        <v>Eligible</v>
      </c>
    </row>
    <row r="326" spans="1:11" x14ac:dyDescent="0.3">
      <c r="A326" s="5">
        <v>325</v>
      </c>
      <c r="B326" s="5" t="s">
        <v>376</v>
      </c>
      <c r="C326" s="5" t="s">
        <v>1090</v>
      </c>
      <c r="D326" s="5" t="s">
        <v>779</v>
      </c>
      <c r="E326" s="6">
        <f t="shared" si="15"/>
        <v>2025</v>
      </c>
      <c r="F326" s="5" t="str">
        <f>INDEX('Data Mahasiswa'!$N$1:$Q$14, MATCH(MID('Data Status Pendaftar'!B326, 5,2), 'Data Mahasiswa'!$N$1:$N$14,0),2)</f>
        <v>Teknik</v>
      </c>
      <c r="G326" s="5" t="str" cm="1">
        <f t="array" ref="G326">INDEX('Data Mahasiswa'!$Q$2:$Q$14, MATCH(MID('Data Status Pendaftar'!B326,5,3), 'Data Mahasiswa'!$N$2:$N$14&amp;TEXT('Data Mahasiswa'!$P$2:$P$14,"0"), 0))</f>
        <v>Teknik Industri</v>
      </c>
      <c r="H326" s="6">
        <f t="shared" ca="1" si="16"/>
        <v>2</v>
      </c>
      <c r="I326" s="7">
        <f>INDEX('Data Mahasiswa'!$A$1:$J$701, MATCH('Data Status Pendaftar'!B326, 'Data Mahasiswa'!$A$1:$A$701, 0), 10)</f>
        <v>3.03125</v>
      </c>
      <c r="J326" s="5" t="str" cm="1">
        <f t="array" ref="J326">INDEX('Data Mahasiswa'!B326:I326,MATCH(MIN(VLOOKUP('Data Mahasiswa'!B326:I326,'Data Mahasiswa'!$N$27:$O$36,2,0)),VLOOKUP('Data Mahasiswa'!B326:I326,'Data Mahasiswa'!$N$27:$O$36,2,0),0))</f>
        <v>E</v>
      </c>
      <c r="K326" s="5" t="str">
        <f t="shared" si="17"/>
        <v>Tidak Eligible</v>
      </c>
    </row>
    <row r="327" spans="1:11" x14ac:dyDescent="0.3">
      <c r="A327" s="8">
        <v>326</v>
      </c>
      <c r="B327" s="8" t="s">
        <v>377</v>
      </c>
      <c r="C327" s="8" t="s">
        <v>1091</v>
      </c>
      <c r="D327" s="8" t="s">
        <v>779</v>
      </c>
      <c r="E327" s="9">
        <f t="shared" si="15"/>
        <v>2025</v>
      </c>
      <c r="F327" s="8" t="str">
        <f>INDEX('Data Mahasiswa'!$N$1:$Q$14, MATCH(MID('Data Status Pendaftar'!B327, 5,2), 'Data Mahasiswa'!$N$1:$N$14,0),2)</f>
        <v>Teknik</v>
      </c>
      <c r="G327" s="8" t="str" cm="1">
        <f t="array" ref="G327">INDEX('Data Mahasiswa'!$Q$2:$Q$14, MATCH(MID('Data Status Pendaftar'!B327,5,3), 'Data Mahasiswa'!$N$2:$N$14&amp;TEXT('Data Mahasiswa'!$P$2:$P$14,"0"), 0))</f>
        <v>Teknik Industri</v>
      </c>
      <c r="H327" s="9">
        <f t="shared" ca="1" si="16"/>
        <v>2</v>
      </c>
      <c r="I327" s="10">
        <f>INDEX('Data Mahasiswa'!$A$1:$J$701, MATCH('Data Status Pendaftar'!B327, 'Data Mahasiswa'!$A$1:$A$701, 0), 10)</f>
        <v>2.96875</v>
      </c>
      <c r="J327" s="8" t="str" cm="1">
        <f t="array" ref="J327">INDEX('Data Mahasiswa'!B327:I327,MATCH(MIN(VLOOKUP('Data Mahasiswa'!B327:I327,'Data Mahasiswa'!$N$27:$O$36,2,0)),VLOOKUP('Data Mahasiswa'!B327:I327,'Data Mahasiswa'!$N$27:$O$36,2,0),0))</f>
        <v>D</v>
      </c>
      <c r="K327" s="8" t="str">
        <f t="shared" si="17"/>
        <v>Tidak Eligible</v>
      </c>
    </row>
    <row r="328" spans="1:11" x14ac:dyDescent="0.3">
      <c r="A328" s="5">
        <v>327</v>
      </c>
      <c r="B328" s="5" t="s">
        <v>378</v>
      </c>
      <c r="C328" s="5" t="s">
        <v>1092</v>
      </c>
      <c r="D328" s="5" t="s">
        <v>780</v>
      </c>
      <c r="E328" s="6">
        <f t="shared" si="15"/>
        <v>2025</v>
      </c>
      <c r="F328" s="5" t="str">
        <f>INDEX('Data Mahasiswa'!$N$1:$Q$14, MATCH(MID('Data Status Pendaftar'!B328, 5,2), 'Data Mahasiswa'!$N$1:$N$14,0),2)</f>
        <v>Teknik</v>
      </c>
      <c r="G328" s="5" t="str" cm="1">
        <f t="array" ref="G328">INDEX('Data Mahasiswa'!$Q$2:$Q$14, MATCH(MID('Data Status Pendaftar'!B328,5,3), 'Data Mahasiswa'!$N$2:$N$14&amp;TEXT('Data Mahasiswa'!$P$2:$P$14,"0"), 0))</f>
        <v>Teknik Industri</v>
      </c>
      <c r="H328" s="6">
        <f t="shared" ca="1" si="16"/>
        <v>2</v>
      </c>
      <c r="I328" s="7">
        <f>INDEX('Data Mahasiswa'!$A$1:$J$701, MATCH('Data Status Pendaftar'!B328, 'Data Mahasiswa'!$A$1:$A$701, 0), 10)</f>
        <v>3.21875</v>
      </c>
      <c r="J328" s="5" t="str" cm="1">
        <f t="array" ref="J328">INDEX('Data Mahasiswa'!B328:I328,MATCH(MIN(VLOOKUP('Data Mahasiswa'!B328:I328,'Data Mahasiswa'!$N$27:$O$36,2,0)),VLOOKUP('Data Mahasiswa'!B328:I328,'Data Mahasiswa'!$N$27:$O$36,2,0),0))</f>
        <v>C</v>
      </c>
      <c r="K328" s="5" t="str">
        <f t="shared" si="17"/>
        <v>Eligible</v>
      </c>
    </row>
    <row r="329" spans="1:11" x14ac:dyDescent="0.3">
      <c r="A329" s="8">
        <v>328</v>
      </c>
      <c r="B329" s="8" t="s">
        <v>379</v>
      </c>
      <c r="C329" s="8" t="s">
        <v>1072</v>
      </c>
      <c r="D329" s="8" t="s">
        <v>779</v>
      </c>
      <c r="E329" s="9">
        <f t="shared" si="15"/>
        <v>2025</v>
      </c>
      <c r="F329" s="8" t="str">
        <f>INDEX('Data Mahasiswa'!$N$1:$Q$14, MATCH(MID('Data Status Pendaftar'!B329, 5,2), 'Data Mahasiswa'!$N$1:$N$14,0),2)</f>
        <v>Teknik</v>
      </c>
      <c r="G329" s="8" t="str" cm="1">
        <f t="array" ref="G329">INDEX('Data Mahasiswa'!$Q$2:$Q$14, MATCH(MID('Data Status Pendaftar'!B329,5,3), 'Data Mahasiswa'!$N$2:$N$14&amp;TEXT('Data Mahasiswa'!$P$2:$P$14,"0"), 0))</f>
        <v>Teknik Industri</v>
      </c>
      <c r="H329" s="9">
        <f t="shared" ca="1" si="16"/>
        <v>2</v>
      </c>
      <c r="I329" s="10">
        <f>INDEX('Data Mahasiswa'!$A$1:$J$701, MATCH('Data Status Pendaftar'!B329, 'Data Mahasiswa'!$A$1:$A$701, 0), 10)</f>
        <v>2.6458333333333335</v>
      </c>
      <c r="J329" s="8" t="str" cm="1">
        <f t="array" ref="J329">INDEX('Data Mahasiswa'!B329:I329,MATCH(MIN(VLOOKUP('Data Mahasiswa'!B329:I329,'Data Mahasiswa'!$N$27:$O$36,2,0)),VLOOKUP('Data Mahasiswa'!B329:I329,'Data Mahasiswa'!$N$27:$O$36,2,0),0))</f>
        <v>C</v>
      </c>
      <c r="K329" s="8" t="str">
        <f t="shared" si="17"/>
        <v>Tidak Eligible</v>
      </c>
    </row>
    <row r="330" spans="1:11" x14ac:dyDescent="0.3">
      <c r="A330" s="5">
        <v>329</v>
      </c>
      <c r="B330" s="5" t="s">
        <v>380</v>
      </c>
      <c r="C330" s="5" t="s">
        <v>1093</v>
      </c>
      <c r="D330" s="5" t="s">
        <v>780</v>
      </c>
      <c r="E330" s="6">
        <f t="shared" si="15"/>
        <v>2025</v>
      </c>
      <c r="F330" s="5" t="str">
        <f>INDEX('Data Mahasiswa'!$N$1:$Q$14, MATCH(MID('Data Status Pendaftar'!B330, 5,2), 'Data Mahasiswa'!$N$1:$N$14,0),2)</f>
        <v>Teknik</v>
      </c>
      <c r="G330" s="5" t="str" cm="1">
        <f t="array" ref="G330">INDEX('Data Mahasiswa'!$Q$2:$Q$14, MATCH(MID('Data Status Pendaftar'!B330,5,3), 'Data Mahasiswa'!$N$2:$N$14&amp;TEXT('Data Mahasiswa'!$P$2:$P$14,"0"), 0))</f>
        <v>Teknik Industri</v>
      </c>
      <c r="H330" s="6">
        <f t="shared" ca="1" si="16"/>
        <v>2</v>
      </c>
      <c r="I330" s="7">
        <f>INDEX('Data Mahasiswa'!$A$1:$J$701, MATCH('Data Status Pendaftar'!B330, 'Data Mahasiswa'!$A$1:$A$701, 0), 10)</f>
        <v>2.96875</v>
      </c>
      <c r="J330" s="5" t="str" cm="1">
        <f t="array" ref="J330">INDEX('Data Mahasiswa'!B330:I330,MATCH(MIN(VLOOKUP('Data Mahasiswa'!B330:I330,'Data Mahasiswa'!$N$27:$O$36,2,0)),VLOOKUP('Data Mahasiswa'!B330:I330,'Data Mahasiswa'!$N$27:$O$36,2,0),0))</f>
        <v>D</v>
      </c>
      <c r="K330" s="5" t="str">
        <f t="shared" si="17"/>
        <v>Tidak Eligible</v>
      </c>
    </row>
    <row r="331" spans="1:11" x14ac:dyDescent="0.3">
      <c r="A331" s="8">
        <v>330</v>
      </c>
      <c r="B331" s="8" t="s">
        <v>381</v>
      </c>
      <c r="C331" s="8" t="s">
        <v>1094</v>
      </c>
      <c r="D331" s="8" t="s">
        <v>779</v>
      </c>
      <c r="E331" s="9">
        <f t="shared" si="15"/>
        <v>2025</v>
      </c>
      <c r="F331" s="8" t="str">
        <f>INDEX('Data Mahasiswa'!$N$1:$Q$14, MATCH(MID('Data Status Pendaftar'!B331, 5,2), 'Data Mahasiswa'!$N$1:$N$14,0),2)</f>
        <v>Teknik</v>
      </c>
      <c r="G331" s="8" t="str" cm="1">
        <f t="array" ref="G331">INDEX('Data Mahasiswa'!$Q$2:$Q$14, MATCH(MID('Data Status Pendaftar'!B331,5,3), 'Data Mahasiswa'!$N$2:$N$14&amp;TEXT('Data Mahasiswa'!$P$2:$P$14,"0"), 0))</f>
        <v>Teknik Industri</v>
      </c>
      <c r="H331" s="9">
        <f t="shared" ca="1" si="16"/>
        <v>2</v>
      </c>
      <c r="I331" s="10">
        <f>INDEX('Data Mahasiswa'!$A$1:$J$701, MATCH('Data Status Pendaftar'!B331, 'Data Mahasiswa'!$A$1:$A$701, 0), 10)</f>
        <v>3.1979166666666665</v>
      </c>
      <c r="J331" s="8" t="str" cm="1">
        <f t="array" ref="J331">INDEX('Data Mahasiswa'!B331:I331,MATCH(MIN(VLOOKUP('Data Mahasiswa'!B331:I331,'Data Mahasiswa'!$N$27:$O$36,2,0)),VLOOKUP('Data Mahasiswa'!B331:I331,'Data Mahasiswa'!$N$27:$O$36,2,0),0))</f>
        <v>C</v>
      </c>
      <c r="K331" s="8" t="str">
        <f t="shared" si="17"/>
        <v>Eligible</v>
      </c>
    </row>
    <row r="332" spans="1:11" x14ac:dyDescent="0.3">
      <c r="A332" s="5">
        <v>331</v>
      </c>
      <c r="B332" s="5" t="s">
        <v>382</v>
      </c>
      <c r="C332" s="5" t="s">
        <v>1095</v>
      </c>
      <c r="D332" s="5" t="s">
        <v>779</v>
      </c>
      <c r="E332" s="6">
        <f t="shared" si="15"/>
        <v>2025</v>
      </c>
      <c r="F332" s="5" t="str">
        <f>INDEX('Data Mahasiswa'!$N$1:$Q$14, MATCH(MID('Data Status Pendaftar'!B332, 5,2), 'Data Mahasiswa'!$N$1:$N$14,0),2)</f>
        <v>Teknik</v>
      </c>
      <c r="G332" s="5" t="str" cm="1">
        <f t="array" ref="G332">INDEX('Data Mahasiswa'!$Q$2:$Q$14, MATCH(MID('Data Status Pendaftar'!B332,5,3), 'Data Mahasiswa'!$N$2:$N$14&amp;TEXT('Data Mahasiswa'!$P$2:$P$14,"0"), 0))</f>
        <v>Teknik Industri</v>
      </c>
      <c r="H332" s="6">
        <f t="shared" ca="1" si="16"/>
        <v>2</v>
      </c>
      <c r="I332" s="7">
        <f>INDEX('Data Mahasiswa'!$A$1:$J$701, MATCH('Data Status Pendaftar'!B332, 'Data Mahasiswa'!$A$1:$A$701, 0), 10)</f>
        <v>3.375</v>
      </c>
      <c r="J332" s="5" t="str" cm="1">
        <f t="array" ref="J332">INDEX('Data Mahasiswa'!B332:I332,MATCH(MIN(VLOOKUP('Data Mahasiswa'!B332:I332,'Data Mahasiswa'!$N$27:$O$36,2,0)),VLOOKUP('Data Mahasiswa'!B332:I332,'Data Mahasiswa'!$N$27:$O$36,2,0),0))</f>
        <v>C+</v>
      </c>
      <c r="K332" s="5" t="str">
        <f t="shared" si="17"/>
        <v>Eligible</v>
      </c>
    </row>
    <row r="333" spans="1:11" x14ac:dyDescent="0.3">
      <c r="A333" s="8">
        <v>332</v>
      </c>
      <c r="B333" s="8" t="s">
        <v>383</v>
      </c>
      <c r="C333" s="8" t="s">
        <v>1096</v>
      </c>
      <c r="D333" s="8" t="s">
        <v>779</v>
      </c>
      <c r="E333" s="9">
        <f t="shared" si="15"/>
        <v>2025</v>
      </c>
      <c r="F333" s="8" t="str">
        <f>INDEX('Data Mahasiswa'!$N$1:$Q$14, MATCH(MID('Data Status Pendaftar'!B333, 5,2), 'Data Mahasiswa'!$N$1:$N$14,0),2)</f>
        <v>Teknik</v>
      </c>
      <c r="G333" s="8" t="str" cm="1">
        <f t="array" ref="G333">INDEX('Data Mahasiswa'!$Q$2:$Q$14, MATCH(MID('Data Status Pendaftar'!B333,5,3), 'Data Mahasiswa'!$N$2:$N$14&amp;TEXT('Data Mahasiswa'!$P$2:$P$14,"0"), 0))</f>
        <v>Teknik Industri</v>
      </c>
      <c r="H333" s="9">
        <f t="shared" ca="1" si="16"/>
        <v>2</v>
      </c>
      <c r="I333" s="10">
        <f>INDEX('Data Mahasiswa'!$A$1:$J$701, MATCH('Data Status Pendaftar'!B333, 'Data Mahasiswa'!$A$1:$A$701, 0), 10)</f>
        <v>3.15625</v>
      </c>
      <c r="J333" s="8" t="str" cm="1">
        <f t="array" ref="J333">INDEX('Data Mahasiswa'!B333:I333,MATCH(MIN(VLOOKUP('Data Mahasiswa'!B333:I333,'Data Mahasiswa'!$N$27:$O$36,2,0)),VLOOKUP('Data Mahasiswa'!B333:I333,'Data Mahasiswa'!$N$27:$O$36,2,0),0))</f>
        <v>C</v>
      </c>
      <c r="K333" s="8" t="str">
        <f t="shared" si="17"/>
        <v>Eligible</v>
      </c>
    </row>
    <row r="334" spans="1:11" x14ac:dyDescent="0.3">
      <c r="A334" s="5">
        <v>333</v>
      </c>
      <c r="B334" s="5" t="s">
        <v>384</v>
      </c>
      <c r="C334" s="5" t="s">
        <v>1097</v>
      </c>
      <c r="D334" s="5" t="s">
        <v>780</v>
      </c>
      <c r="E334" s="6">
        <f t="shared" si="15"/>
        <v>2025</v>
      </c>
      <c r="F334" s="5" t="str">
        <f>INDEX('Data Mahasiswa'!$N$1:$Q$14, MATCH(MID('Data Status Pendaftar'!B334, 5,2), 'Data Mahasiswa'!$N$1:$N$14,0),2)</f>
        <v>Ekonomi</v>
      </c>
      <c r="G334" s="5" t="str" cm="1">
        <f t="array" ref="G334">INDEX('Data Mahasiswa'!$Q$2:$Q$14, MATCH(MID('Data Status Pendaftar'!B334,5,3), 'Data Mahasiswa'!$N$2:$N$14&amp;TEXT('Data Mahasiswa'!$P$2:$P$14,"0"), 0))</f>
        <v>Manajemen</v>
      </c>
      <c r="H334" s="6">
        <f t="shared" ca="1" si="16"/>
        <v>2</v>
      </c>
      <c r="I334" s="7">
        <f>INDEX('Data Mahasiswa'!$A$1:$J$701, MATCH('Data Status Pendaftar'!B334, 'Data Mahasiswa'!$A$1:$A$701, 0), 10)</f>
        <v>2.7708333333333335</v>
      </c>
      <c r="J334" s="5" t="str" cm="1">
        <f t="array" ref="J334">INDEX('Data Mahasiswa'!B334:I334,MATCH(MIN(VLOOKUP('Data Mahasiswa'!B334:I334,'Data Mahasiswa'!$N$27:$O$36,2,0)),VLOOKUP('Data Mahasiswa'!B334:I334,'Data Mahasiswa'!$N$27:$O$36,2,0),0))</f>
        <v>D</v>
      </c>
      <c r="K334" s="5" t="str">
        <f t="shared" si="17"/>
        <v>Tidak Eligible</v>
      </c>
    </row>
    <row r="335" spans="1:11" x14ac:dyDescent="0.3">
      <c r="A335" s="8">
        <v>334</v>
      </c>
      <c r="B335" s="8" t="s">
        <v>385</v>
      </c>
      <c r="C335" s="8" t="s">
        <v>1098</v>
      </c>
      <c r="D335" s="8" t="s">
        <v>779</v>
      </c>
      <c r="E335" s="9">
        <f t="shared" si="15"/>
        <v>2025</v>
      </c>
      <c r="F335" s="8" t="str">
        <f>INDEX('Data Mahasiswa'!$N$1:$Q$14, MATCH(MID('Data Status Pendaftar'!B335, 5,2), 'Data Mahasiswa'!$N$1:$N$14,0),2)</f>
        <v>Ekonomi</v>
      </c>
      <c r="G335" s="8" t="str" cm="1">
        <f t="array" ref="G335">INDEX('Data Mahasiswa'!$Q$2:$Q$14, MATCH(MID('Data Status Pendaftar'!B335,5,3), 'Data Mahasiswa'!$N$2:$N$14&amp;TEXT('Data Mahasiswa'!$P$2:$P$14,"0"), 0))</f>
        <v>Manajemen</v>
      </c>
      <c r="H335" s="9">
        <f t="shared" ca="1" si="16"/>
        <v>2</v>
      </c>
      <c r="I335" s="10">
        <f>INDEX('Data Mahasiswa'!$A$1:$J$701, MATCH('Data Status Pendaftar'!B335, 'Data Mahasiswa'!$A$1:$A$701, 0), 10)</f>
        <v>3.2291666666666665</v>
      </c>
      <c r="J335" s="8" t="str" cm="1">
        <f t="array" ref="J335">INDEX('Data Mahasiswa'!B335:I335,MATCH(MIN(VLOOKUP('Data Mahasiswa'!B335:I335,'Data Mahasiswa'!$N$27:$O$36,2,0)),VLOOKUP('Data Mahasiswa'!B335:I335,'Data Mahasiswa'!$N$27:$O$36,2,0),0))</f>
        <v>C+</v>
      </c>
      <c r="K335" s="8" t="str">
        <f t="shared" si="17"/>
        <v>Eligible</v>
      </c>
    </row>
    <row r="336" spans="1:11" x14ac:dyDescent="0.3">
      <c r="A336" s="5">
        <v>335</v>
      </c>
      <c r="B336" s="5" t="s">
        <v>386</v>
      </c>
      <c r="C336" s="5" t="s">
        <v>1099</v>
      </c>
      <c r="D336" s="5" t="s">
        <v>779</v>
      </c>
      <c r="E336" s="6">
        <f t="shared" si="15"/>
        <v>2025</v>
      </c>
      <c r="F336" s="5" t="str">
        <f>INDEX('Data Mahasiswa'!$N$1:$Q$14, MATCH(MID('Data Status Pendaftar'!B336, 5,2), 'Data Mahasiswa'!$N$1:$N$14,0),2)</f>
        <v>Ekonomi</v>
      </c>
      <c r="G336" s="5" t="str" cm="1">
        <f t="array" ref="G336">INDEX('Data Mahasiswa'!$Q$2:$Q$14, MATCH(MID('Data Status Pendaftar'!B336,5,3), 'Data Mahasiswa'!$N$2:$N$14&amp;TEXT('Data Mahasiswa'!$P$2:$P$14,"0"), 0))</f>
        <v>Manajemen</v>
      </c>
      <c r="H336" s="6">
        <f t="shared" ca="1" si="16"/>
        <v>2</v>
      </c>
      <c r="I336" s="7">
        <f>INDEX('Data Mahasiswa'!$A$1:$J$701, MATCH('Data Status Pendaftar'!B336, 'Data Mahasiswa'!$A$1:$A$701, 0), 10)</f>
        <v>2.96875</v>
      </c>
      <c r="J336" s="5" t="str" cm="1">
        <f t="array" ref="J336">INDEX('Data Mahasiswa'!B336:I336,MATCH(MIN(VLOOKUP('Data Mahasiswa'!B336:I336,'Data Mahasiswa'!$N$27:$O$36,2,0)),VLOOKUP('Data Mahasiswa'!B336:I336,'Data Mahasiswa'!$N$27:$O$36,2,0),0))</f>
        <v>C</v>
      </c>
      <c r="K336" s="5" t="str">
        <f t="shared" si="17"/>
        <v>Eligible</v>
      </c>
    </row>
    <row r="337" spans="1:11" x14ac:dyDescent="0.3">
      <c r="A337" s="8">
        <v>336</v>
      </c>
      <c r="B337" s="8" t="s">
        <v>387</v>
      </c>
      <c r="C337" s="8" t="s">
        <v>1100</v>
      </c>
      <c r="D337" s="8" t="s">
        <v>779</v>
      </c>
      <c r="E337" s="9">
        <f t="shared" si="15"/>
        <v>2025</v>
      </c>
      <c r="F337" s="8" t="str">
        <f>INDEX('Data Mahasiswa'!$N$1:$Q$14, MATCH(MID('Data Status Pendaftar'!B337, 5,2), 'Data Mahasiswa'!$N$1:$N$14,0),2)</f>
        <v>Ekonomi</v>
      </c>
      <c r="G337" s="8" t="str" cm="1">
        <f t="array" ref="G337">INDEX('Data Mahasiswa'!$Q$2:$Q$14, MATCH(MID('Data Status Pendaftar'!B337,5,3), 'Data Mahasiswa'!$N$2:$N$14&amp;TEXT('Data Mahasiswa'!$P$2:$P$14,"0"), 0))</f>
        <v>Manajemen</v>
      </c>
      <c r="H337" s="9">
        <f t="shared" ca="1" si="16"/>
        <v>2</v>
      </c>
      <c r="I337" s="10">
        <f>INDEX('Data Mahasiswa'!$A$1:$J$701, MATCH('Data Status Pendaftar'!B337, 'Data Mahasiswa'!$A$1:$A$701, 0), 10)</f>
        <v>3.4375</v>
      </c>
      <c r="J337" s="8" t="str" cm="1">
        <f t="array" ref="J337">INDEX('Data Mahasiswa'!B337:I337,MATCH(MIN(VLOOKUP('Data Mahasiswa'!B337:I337,'Data Mahasiswa'!$N$27:$O$36,2,0)),VLOOKUP('Data Mahasiswa'!B337:I337,'Data Mahasiswa'!$N$27:$O$36,2,0),0))</f>
        <v>B</v>
      </c>
      <c r="K337" s="8" t="str">
        <f t="shared" si="17"/>
        <v>Eligible</v>
      </c>
    </row>
    <row r="338" spans="1:11" x14ac:dyDescent="0.3">
      <c r="A338" s="5">
        <v>337</v>
      </c>
      <c r="B338" s="5" t="s">
        <v>388</v>
      </c>
      <c r="C338" s="5" t="s">
        <v>1101</v>
      </c>
      <c r="D338" s="5" t="s">
        <v>779</v>
      </c>
      <c r="E338" s="6">
        <f t="shared" si="15"/>
        <v>2025</v>
      </c>
      <c r="F338" s="5" t="str">
        <f>INDEX('Data Mahasiswa'!$N$1:$Q$14, MATCH(MID('Data Status Pendaftar'!B338, 5,2), 'Data Mahasiswa'!$N$1:$N$14,0),2)</f>
        <v>Ekonomi</v>
      </c>
      <c r="G338" s="5" t="str" cm="1">
        <f t="array" ref="G338">INDEX('Data Mahasiswa'!$Q$2:$Q$14, MATCH(MID('Data Status Pendaftar'!B338,5,3), 'Data Mahasiswa'!$N$2:$N$14&amp;TEXT('Data Mahasiswa'!$P$2:$P$14,"0"), 0))</f>
        <v>Manajemen</v>
      </c>
      <c r="H338" s="6">
        <f t="shared" ca="1" si="16"/>
        <v>2</v>
      </c>
      <c r="I338" s="7">
        <f>INDEX('Data Mahasiswa'!$A$1:$J$701, MATCH('Data Status Pendaftar'!B338, 'Data Mahasiswa'!$A$1:$A$701, 0), 10)</f>
        <v>3.375</v>
      </c>
      <c r="J338" s="5" t="str" cm="1">
        <f t="array" ref="J338">INDEX('Data Mahasiswa'!B338:I338,MATCH(MIN(VLOOKUP('Data Mahasiswa'!B338:I338,'Data Mahasiswa'!$N$27:$O$36,2,0)),VLOOKUP('Data Mahasiswa'!B338:I338,'Data Mahasiswa'!$N$27:$O$36,2,0),0))</f>
        <v>E</v>
      </c>
      <c r="K338" s="5" t="str">
        <f t="shared" si="17"/>
        <v>Tidak Eligible</v>
      </c>
    </row>
    <row r="339" spans="1:11" x14ac:dyDescent="0.3">
      <c r="A339" s="8">
        <v>338</v>
      </c>
      <c r="B339" s="8" t="s">
        <v>389</v>
      </c>
      <c r="C339" s="8" t="s">
        <v>1102</v>
      </c>
      <c r="D339" s="8" t="s">
        <v>779</v>
      </c>
      <c r="E339" s="9">
        <f t="shared" si="15"/>
        <v>2025</v>
      </c>
      <c r="F339" s="8" t="str">
        <f>INDEX('Data Mahasiswa'!$N$1:$Q$14, MATCH(MID('Data Status Pendaftar'!B339, 5,2), 'Data Mahasiswa'!$N$1:$N$14,0),2)</f>
        <v>Ekonomi</v>
      </c>
      <c r="G339" s="8" t="str" cm="1">
        <f t="array" ref="G339">INDEX('Data Mahasiswa'!$Q$2:$Q$14, MATCH(MID('Data Status Pendaftar'!B339,5,3), 'Data Mahasiswa'!$N$2:$N$14&amp;TEXT('Data Mahasiswa'!$P$2:$P$14,"0"), 0))</f>
        <v>Manajemen</v>
      </c>
      <c r="H339" s="9">
        <f t="shared" ca="1" si="16"/>
        <v>2</v>
      </c>
      <c r="I339" s="10">
        <f>INDEX('Data Mahasiswa'!$A$1:$J$701, MATCH('Data Status Pendaftar'!B339, 'Data Mahasiswa'!$A$1:$A$701, 0), 10)</f>
        <v>2.875</v>
      </c>
      <c r="J339" s="8" t="str" cm="1">
        <f t="array" ref="J339">INDEX('Data Mahasiswa'!B339:I339,MATCH(MIN(VLOOKUP('Data Mahasiswa'!B339:I339,'Data Mahasiswa'!$N$27:$O$36,2,0)),VLOOKUP('Data Mahasiswa'!B339:I339,'Data Mahasiswa'!$N$27:$O$36,2,0),0))</f>
        <v>D</v>
      </c>
      <c r="K339" s="8" t="str">
        <f t="shared" si="17"/>
        <v>Tidak Eligible</v>
      </c>
    </row>
    <row r="340" spans="1:11" x14ac:dyDescent="0.3">
      <c r="A340" s="5">
        <v>339</v>
      </c>
      <c r="B340" s="5" t="s">
        <v>390</v>
      </c>
      <c r="C340" s="5" t="s">
        <v>1103</v>
      </c>
      <c r="D340" s="5" t="s">
        <v>780</v>
      </c>
      <c r="E340" s="6">
        <f t="shared" si="15"/>
        <v>2025</v>
      </c>
      <c r="F340" s="5" t="str">
        <f>INDEX('Data Mahasiswa'!$N$1:$Q$14, MATCH(MID('Data Status Pendaftar'!B340, 5,2), 'Data Mahasiswa'!$N$1:$N$14,0),2)</f>
        <v>Ekonomi</v>
      </c>
      <c r="G340" s="5" t="str" cm="1">
        <f t="array" ref="G340">INDEX('Data Mahasiswa'!$Q$2:$Q$14, MATCH(MID('Data Status Pendaftar'!B340,5,3), 'Data Mahasiswa'!$N$2:$N$14&amp;TEXT('Data Mahasiswa'!$P$2:$P$14,"0"), 0))</f>
        <v>Manajemen</v>
      </c>
      <c r="H340" s="6">
        <f t="shared" ca="1" si="16"/>
        <v>2</v>
      </c>
      <c r="I340" s="7">
        <f>INDEX('Data Mahasiswa'!$A$1:$J$701, MATCH('Data Status Pendaftar'!B340, 'Data Mahasiswa'!$A$1:$A$701, 0), 10)</f>
        <v>2.40625</v>
      </c>
      <c r="J340" s="5" t="str" cm="1">
        <f t="array" ref="J340">INDEX('Data Mahasiswa'!B340:I340,MATCH(MIN(VLOOKUP('Data Mahasiswa'!B340:I340,'Data Mahasiswa'!$N$27:$O$36,2,0)),VLOOKUP('Data Mahasiswa'!B340:I340,'Data Mahasiswa'!$N$27:$O$36,2,0),0))</f>
        <v>E</v>
      </c>
      <c r="K340" s="5" t="str">
        <f t="shared" si="17"/>
        <v>Tidak Eligible</v>
      </c>
    </row>
    <row r="341" spans="1:11" x14ac:dyDescent="0.3">
      <c r="A341" s="8">
        <v>340</v>
      </c>
      <c r="B341" s="8" t="s">
        <v>391</v>
      </c>
      <c r="C341" s="8" t="s">
        <v>881</v>
      </c>
      <c r="D341" s="8" t="s">
        <v>780</v>
      </c>
      <c r="E341" s="9">
        <f t="shared" si="15"/>
        <v>2025</v>
      </c>
      <c r="F341" s="8" t="str">
        <f>INDEX('Data Mahasiswa'!$N$1:$Q$14, MATCH(MID('Data Status Pendaftar'!B341, 5,2), 'Data Mahasiswa'!$N$1:$N$14,0),2)</f>
        <v>Ekonomi</v>
      </c>
      <c r="G341" s="8" t="str" cm="1">
        <f t="array" ref="G341">INDEX('Data Mahasiswa'!$Q$2:$Q$14, MATCH(MID('Data Status Pendaftar'!B341,5,3), 'Data Mahasiswa'!$N$2:$N$14&amp;TEXT('Data Mahasiswa'!$P$2:$P$14,"0"), 0))</f>
        <v>Manajemen</v>
      </c>
      <c r="H341" s="9">
        <f t="shared" ca="1" si="16"/>
        <v>2</v>
      </c>
      <c r="I341" s="10">
        <f>INDEX('Data Mahasiswa'!$A$1:$J$701, MATCH('Data Status Pendaftar'!B341, 'Data Mahasiswa'!$A$1:$A$701, 0), 10)</f>
        <v>2.8333333333333335</v>
      </c>
      <c r="J341" s="8" t="str" cm="1">
        <f t="array" ref="J341">INDEX('Data Mahasiswa'!B341:I341,MATCH(MIN(VLOOKUP('Data Mahasiswa'!B341:I341,'Data Mahasiswa'!$N$27:$O$36,2,0)),VLOOKUP('Data Mahasiswa'!B341:I341,'Data Mahasiswa'!$N$27:$O$36,2,0),0))</f>
        <v>D</v>
      </c>
      <c r="K341" s="8" t="str">
        <f t="shared" si="17"/>
        <v>Tidak Eligible</v>
      </c>
    </row>
    <row r="342" spans="1:11" x14ac:dyDescent="0.3">
      <c r="A342" s="5">
        <v>341</v>
      </c>
      <c r="B342" s="5" t="s">
        <v>392</v>
      </c>
      <c r="C342" s="5" t="s">
        <v>1104</v>
      </c>
      <c r="D342" s="5" t="s">
        <v>780</v>
      </c>
      <c r="E342" s="6">
        <f t="shared" si="15"/>
        <v>2025</v>
      </c>
      <c r="F342" s="5" t="str">
        <f>INDEX('Data Mahasiswa'!$N$1:$Q$14, MATCH(MID('Data Status Pendaftar'!B342, 5,2), 'Data Mahasiswa'!$N$1:$N$14,0),2)</f>
        <v>Ekonomi</v>
      </c>
      <c r="G342" s="5" t="str" cm="1">
        <f t="array" ref="G342">INDEX('Data Mahasiswa'!$Q$2:$Q$14, MATCH(MID('Data Status Pendaftar'!B342,5,3), 'Data Mahasiswa'!$N$2:$N$14&amp;TEXT('Data Mahasiswa'!$P$2:$P$14,"0"), 0))</f>
        <v>Manajemen</v>
      </c>
      <c r="H342" s="6">
        <f t="shared" ca="1" si="16"/>
        <v>2</v>
      </c>
      <c r="I342" s="7">
        <f>INDEX('Data Mahasiswa'!$A$1:$J$701, MATCH('Data Status Pendaftar'!B342, 'Data Mahasiswa'!$A$1:$A$701, 0), 10)</f>
        <v>3.25</v>
      </c>
      <c r="J342" s="5" t="str" cm="1">
        <f t="array" ref="J342">INDEX('Data Mahasiswa'!B342:I342,MATCH(MIN(VLOOKUP('Data Mahasiswa'!B342:I342,'Data Mahasiswa'!$N$27:$O$36,2,0)),VLOOKUP('Data Mahasiswa'!B342:I342,'Data Mahasiswa'!$N$27:$O$36,2,0),0))</f>
        <v>B-</v>
      </c>
      <c r="K342" s="5" t="str">
        <f t="shared" si="17"/>
        <v>Eligible</v>
      </c>
    </row>
    <row r="343" spans="1:11" x14ac:dyDescent="0.3">
      <c r="A343" s="8">
        <v>342</v>
      </c>
      <c r="B343" s="8" t="s">
        <v>393</v>
      </c>
      <c r="C343" s="8" t="s">
        <v>1105</v>
      </c>
      <c r="D343" s="8" t="s">
        <v>779</v>
      </c>
      <c r="E343" s="9">
        <f t="shared" si="15"/>
        <v>2025</v>
      </c>
      <c r="F343" s="8" t="str">
        <f>INDEX('Data Mahasiswa'!$N$1:$Q$14, MATCH(MID('Data Status Pendaftar'!B343, 5,2), 'Data Mahasiswa'!$N$1:$N$14,0),2)</f>
        <v>Ekonomi</v>
      </c>
      <c r="G343" s="8" t="str" cm="1">
        <f t="array" ref="G343">INDEX('Data Mahasiswa'!$Q$2:$Q$14, MATCH(MID('Data Status Pendaftar'!B343,5,3), 'Data Mahasiswa'!$N$2:$N$14&amp;TEXT('Data Mahasiswa'!$P$2:$P$14,"0"), 0))</f>
        <v>Manajemen</v>
      </c>
      <c r="H343" s="9">
        <f t="shared" ca="1" si="16"/>
        <v>2</v>
      </c>
      <c r="I343" s="10">
        <f>INDEX('Data Mahasiswa'!$A$1:$J$701, MATCH('Data Status Pendaftar'!B343, 'Data Mahasiswa'!$A$1:$A$701, 0), 10)</f>
        <v>3</v>
      </c>
      <c r="J343" s="8" t="str" cm="1">
        <f t="array" ref="J343">INDEX('Data Mahasiswa'!B343:I343,MATCH(MIN(VLOOKUP('Data Mahasiswa'!B343:I343,'Data Mahasiswa'!$N$27:$O$36,2,0)),VLOOKUP('Data Mahasiswa'!B343:I343,'Data Mahasiswa'!$N$27:$O$36,2,0),0))</f>
        <v>E</v>
      </c>
      <c r="K343" s="8" t="str">
        <f t="shared" si="17"/>
        <v>Tidak Eligible</v>
      </c>
    </row>
    <row r="344" spans="1:11" x14ac:dyDescent="0.3">
      <c r="A344" s="5">
        <v>343</v>
      </c>
      <c r="B344" s="5" t="s">
        <v>394</v>
      </c>
      <c r="C344" s="5" t="s">
        <v>1106</v>
      </c>
      <c r="D344" s="5" t="s">
        <v>779</v>
      </c>
      <c r="E344" s="6">
        <f t="shared" si="15"/>
        <v>2025</v>
      </c>
      <c r="F344" s="5" t="str">
        <f>INDEX('Data Mahasiswa'!$N$1:$Q$14, MATCH(MID('Data Status Pendaftar'!B344, 5,2), 'Data Mahasiswa'!$N$1:$N$14,0),2)</f>
        <v>Ekonomi</v>
      </c>
      <c r="G344" s="5" t="str" cm="1">
        <f t="array" ref="G344">INDEX('Data Mahasiswa'!$Q$2:$Q$14, MATCH(MID('Data Status Pendaftar'!B344,5,3), 'Data Mahasiswa'!$N$2:$N$14&amp;TEXT('Data Mahasiswa'!$P$2:$P$14,"0"), 0))</f>
        <v>Manajemen</v>
      </c>
      <c r="H344" s="6">
        <f t="shared" ca="1" si="16"/>
        <v>2</v>
      </c>
      <c r="I344" s="7">
        <f>INDEX('Data Mahasiswa'!$A$1:$J$701, MATCH('Data Status Pendaftar'!B344, 'Data Mahasiswa'!$A$1:$A$701, 0), 10)</f>
        <v>3.3645833333333335</v>
      </c>
      <c r="J344" s="5" t="str" cm="1">
        <f t="array" ref="J344">INDEX('Data Mahasiswa'!B344:I344,MATCH(MIN(VLOOKUP('Data Mahasiswa'!B344:I344,'Data Mahasiswa'!$N$27:$O$36,2,0)),VLOOKUP('Data Mahasiswa'!B344:I344,'Data Mahasiswa'!$N$27:$O$36,2,0),0))</f>
        <v>C</v>
      </c>
      <c r="K344" s="5" t="str">
        <f t="shared" si="17"/>
        <v>Eligible</v>
      </c>
    </row>
    <row r="345" spans="1:11" x14ac:dyDescent="0.3">
      <c r="A345" s="8">
        <v>344</v>
      </c>
      <c r="B345" s="8" t="s">
        <v>395</v>
      </c>
      <c r="C345" s="8" t="s">
        <v>1107</v>
      </c>
      <c r="D345" s="8" t="s">
        <v>780</v>
      </c>
      <c r="E345" s="9">
        <f t="shared" si="15"/>
        <v>2025</v>
      </c>
      <c r="F345" s="8" t="str">
        <f>INDEX('Data Mahasiswa'!$N$1:$Q$14, MATCH(MID('Data Status Pendaftar'!B345, 5,2), 'Data Mahasiswa'!$N$1:$N$14,0),2)</f>
        <v>Ekonomi</v>
      </c>
      <c r="G345" s="8" t="str" cm="1">
        <f t="array" ref="G345">INDEX('Data Mahasiswa'!$Q$2:$Q$14, MATCH(MID('Data Status Pendaftar'!B345,5,3), 'Data Mahasiswa'!$N$2:$N$14&amp;TEXT('Data Mahasiswa'!$P$2:$P$14,"0"), 0))</f>
        <v>Manajemen</v>
      </c>
      <c r="H345" s="9">
        <f t="shared" ca="1" si="16"/>
        <v>2</v>
      </c>
      <c r="I345" s="10">
        <f>INDEX('Data Mahasiswa'!$A$1:$J$701, MATCH('Data Status Pendaftar'!B345, 'Data Mahasiswa'!$A$1:$A$701, 0), 10)</f>
        <v>2.8958333333333335</v>
      </c>
      <c r="J345" s="8" t="str" cm="1">
        <f t="array" ref="J345">INDEX('Data Mahasiswa'!B345:I345,MATCH(MIN(VLOOKUP('Data Mahasiswa'!B345:I345,'Data Mahasiswa'!$N$27:$O$36,2,0)),VLOOKUP('Data Mahasiswa'!B345:I345,'Data Mahasiswa'!$N$27:$O$36,2,0),0))</f>
        <v>D</v>
      </c>
      <c r="K345" s="8" t="str">
        <f t="shared" si="17"/>
        <v>Tidak Eligible</v>
      </c>
    </row>
    <row r="346" spans="1:11" x14ac:dyDescent="0.3">
      <c r="A346" s="5">
        <v>345</v>
      </c>
      <c r="B346" s="5" t="s">
        <v>396</v>
      </c>
      <c r="C346" s="5" t="s">
        <v>1043</v>
      </c>
      <c r="D346" s="5" t="s">
        <v>779</v>
      </c>
      <c r="E346" s="6">
        <f t="shared" si="15"/>
        <v>2025</v>
      </c>
      <c r="F346" s="5" t="str">
        <f>INDEX('Data Mahasiswa'!$N$1:$Q$14, MATCH(MID('Data Status Pendaftar'!B346, 5,2), 'Data Mahasiswa'!$N$1:$N$14,0),2)</f>
        <v>Ekonomi</v>
      </c>
      <c r="G346" s="5" t="str" cm="1">
        <f t="array" ref="G346">INDEX('Data Mahasiswa'!$Q$2:$Q$14, MATCH(MID('Data Status Pendaftar'!B346,5,3), 'Data Mahasiswa'!$N$2:$N$14&amp;TEXT('Data Mahasiswa'!$P$2:$P$14,"0"), 0))</f>
        <v>Manajemen</v>
      </c>
      <c r="H346" s="6">
        <f t="shared" ca="1" si="16"/>
        <v>2</v>
      </c>
      <c r="I346" s="7">
        <f>INDEX('Data Mahasiswa'!$A$1:$J$701, MATCH('Data Status Pendaftar'!B346, 'Data Mahasiswa'!$A$1:$A$701, 0), 10)</f>
        <v>2.8125</v>
      </c>
      <c r="J346" s="5" t="str" cm="1">
        <f t="array" ref="J346">INDEX('Data Mahasiswa'!B346:I346,MATCH(MIN(VLOOKUP('Data Mahasiswa'!B346:I346,'Data Mahasiswa'!$N$27:$O$36,2,0)),VLOOKUP('Data Mahasiswa'!B346:I346,'Data Mahasiswa'!$N$27:$O$36,2,0),0))</f>
        <v>E</v>
      </c>
      <c r="K346" s="5" t="str">
        <f t="shared" si="17"/>
        <v>Tidak Eligible</v>
      </c>
    </row>
    <row r="347" spans="1:11" x14ac:dyDescent="0.3">
      <c r="A347" s="8">
        <v>346</v>
      </c>
      <c r="B347" s="8" t="s">
        <v>397</v>
      </c>
      <c r="C347" s="8" t="s">
        <v>1108</v>
      </c>
      <c r="D347" s="8" t="s">
        <v>780</v>
      </c>
      <c r="E347" s="9">
        <f t="shared" si="15"/>
        <v>2025</v>
      </c>
      <c r="F347" s="8" t="str">
        <f>INDEX('Data Mahasiswa'!$N$1:$Q$14, MATCH(MID('Data Status Pendaftar'!B347, 5,2), 'Data Mahasiswa'!$N$1:$N$14,0),2)</f>
        <v>Ekonomi</v>
      </c>
      <c r="G347" s="8" t="str" cm="1">
        <f t="array" ref="G347">INDEX('Data Mahasiswa'!$Q$2:$Q$14, MATCH(MID('Data Status Pendaftar'!B347,5,3), 'Data Mahasiswa'!$N$2:$N$14&amp;TEXT('Data Mahasiswa'!$P$2:$P$14,"0"), 0))</f>
        <v>Manajemen</v>
      </c>
      <c r="H347" s="9">
        <f t="shared" ca="1" si="16"/>
        <v>2</v>
      </c>
      <c r="I347" s="10">
        <f>INDEX('Data Mahasiswa'!$A$1:$J$701, MATCH('Data Status Pendaftar'!B347, 'Data Mahasiswa'!$A$1:$A$701, 0), 10)</f>
        <v>3.5416666666666665</v>
      </c>
      <c r="J347" s="8" t="str" cm="1">
        <f t="array" ref="J347">INDEX('Data Mahasiswa'!B347:I347,MATCH(MIN(VLOOKUP('Data Mahasiswa'!B347:I347,'Data Mahasiswa'!$N$27:$O$36,2,0)),VLOOKUP('Data Mahasiswa'!B347:I347,'Data Mahasiswa'!$N$27:$O$36,2,0),0))</f>
        <v>C</v>
      </c>
      <c r="K347" s="8" t="str">
        <f t="shared" si="17"/>
        <v>Eligible</v>
      </c>
    </row>
    <row r="348" spans="1:11" x14ac:dyDescent="0.3">
      <c r="A348" s="5">
        <v>347</v>
      </c>
      <c r="B348" s="5" t="s">
        <v>398</v>
      </c>
      <c r="C348" s="5" t="s">
        <v>1109</v>
      </c>
      <c r="D348" s="5" t="s">
        <v>780</v>
      </c>
      <c r="E348" s="6">
        <f t="shared" si="15"/>
        <v>2025</v>
      </c>
      <c r="F348" s="5" t="str">
        <f>INDEX('Data Mahasiswa'!$N$1:$Q$14, MATCH(MID('Data Status Pendaftar'!B348, 5,2), 'Data Mahasiswa'!$N$1:$N$14,0),2)</f>
        <v>Ekonomi</v>
      </c>
      <c r="G348" s="5" t="str" cm="1">
        <f t="array" ref="G348">INDEX('Data Mahasiswa'!$Q$2:$Q$14, MATCH(MID('Data Status Pendaftar'!B348,5,3), 'Data Mahasiswa'!$N$2:$N$14&amp;TEXT('Data Mahasiswa'!$P$2:$P$14,"0"), 0))</f>
        <v>Manajemen</v>
      </c>
      <c r="H348" s="6">
        <f t="shared" ca="1" si="16"/>
        <v>2</v>
      </c>
      <c r="I348" s="7">
        <f>INDEX('Data Mahasiswa'!$A$1:$J$701, MATCH('Data Status Pendaftar'!B348, 'Data Mahasiswa'!$A$1:$A$701, 0), 10)</f>
        <v>3.2291666666666665</v>
      </c>
      <c r="J348" s="5" t="str" cm="1">
        <f t="array" ref="J348">INDEX('Data Mahasiswa'!B348:I348,MATCH(MIN(VLOOKUP('Data Mahasiswa'!B348:I348,'Data Mahasiswa'!$N$27:$O$36,2,0)),VLOOKUP('Data Mahasiswa'!B348:I348,'Data Mahasiswa'!$N$27:$O$36,2,0),0))</f>
        <v>C</v>
      </c>
      <c r="K348" s="5" t="str">
        <f t="shared" si="17"/>
        <v>Eligible</v>
      </c>
    </row>
    <row r="349" spans="1:11" x14ac:dyDescent="0.3">
      <c r="A349" s="8">
        <v>348</v>
      </c>
      <c r="B349" s="8" t="s">
        <v>399</v>
      </c>
      <c r="C349" s="8" t="s">
        <v>1110</v>
      </c>
      <c r="D349" s="8" t="s">
        <v>780</v>
      </c>
      <c r="E349" s="9">
        <f t="shared" si="15"/>
        <v>2025</v>
      </c>
      <c r="F349" s="8" t="str">
        <f>INDEX('Data Mahasiswa'!$N$1:$Q$14, MATCH(MID('Data Status Pendaftar'!B349, 5,2), 'Data Mahasiswa'!$N$1:$N$14,0),2)</f>
        <v>Ekonomi</v>
      </c>
      <c r="G349" s="8" t="str" cm="1">
        <f t="array" ref="G349">INDEX('Data Mahasiswa'!$Q$2:$Q$14, MATCH(MID('Data Status Pendaftar'!B349,5,3), 'Data Mahasiswa'!$N$2:$N$14&amp;TEXT('Data Mahasiswa'!$P$2:$P$14,"0"), 0))</f>
        <v>Manajemen</v>
      </c>
      <c r="H349" s="9">
        <f t="shared" ca="1" si="16"/>
        <v>2</v>
      </c>
      <c r="I349" s="10">
        <f>INDEX('Data Mahasiswa'!$A$1:$J$701, MATCH('Data Status Pendaftar'!B349, 'Data Mahasiswa'!$A$1:$A$701, 0), 10)</f>
        <v>2.8541666666666665</v>
      </c>
      <c r="J349" s="8" t="str" cm="1">
        <f t="array" ref="J349">INDEX('Data Mahasiswa'!B349:I349,MATCH(MIN(VLOOKUP('Data Mahasiswa'!B349:I349,'Data Mahasiswa'!$N$27:$O$36,2,0)),VLOOKUP('Data Mahasiswa'!B349:I349,'Data Mahasiswa'!$N$27:$O$36,2,0),0))</f>
        <v>D</v>
      </c>
      <c r="K349" s="8" t="str">
        <f t="shared" si="17"/>
        <v>Tidak Eligible</v>
      </c>
    </row>
    <row r="350" spans="1:11" x14ac:dyDescent="0.3">
      <c r="A350" s="5">
        <v>349</v>
      </c>
      <c r="B350" s="5" t="s">
        <v>400</v>
      </c>
      <c r="C350" s="5" t="s">
        <v>1111</v>
      </c>
      <c r="D350" s="5" t="s">
        <v>780</v>
      </c>
      <c r="E350" s="6">
        <f t="shared" si="15"/>
        <v>2025</v>
      </c>
      <c r="F350" s="5" t="str">
        <f>INDEX('Data Mahasiswa'!$N$1:$Q$14, MATCH(MID('Data Status Pendaftar'!B350, 5,2), 'Data Mahasiswa'!$N$1:$N$14,0),2)</f>
        <v>Ekonomi</v>
      </c>
      <c r="G350" s="5" t="str" cm="1">
        <f t="array" ref="G350">INDEX('Data Mahasiswa'!$Q$2:$Q$14, MATCH(MID('Data Status Pendaftar'!B350,5,3), 'Data Mahasiswa'!$N$2:$N$14&amp;TEXT('Data Mahasiswa'!$P$2:$P$14,"0"), 0))</f>
        <v>Manajemen</v>
      </c>
      <c r="H350" s="6">
        <f t="shared" ca="1" si="16"/>
        <v>2</v>
      </c>
      <c r="I350" s="7">
        <f>INDEX('Data Mahasiswa'!$A$1:$J$701, MATCH('Data Status Pendaftar'!B350, 'Data Mahasiswa'!$A$1:$A$701, 0), 10)</f>
        <v>3.0104166666666665</v>
      </c>
      <c r="J350" s="5" t="str" cm="1">
        <f t="array" ref="J350">INDEX('Data Mahasiswa'!B350:I350,MATCH(MIN(VLOOKUP('Data Mahasiswa'!B350:I350,'Data Mahasiswa'!$N$27:$O$36,2,0)),VLOOKUP('Data Mahasiswa'!B350:I350,'Data Mahasiswa'!$N$27:$O$36,2,0),0))</f>
        <v>C</v>
      </c>
      <c r="K350" s="5" t="str">
        <f t="shared" si="17"/>
        <v>Eligible</v>
      </c>
    </row>
    <row r="351" spans="1:11" x14ac:dyDescent="0.3">
      <c r="A351" s="8">
        <v>350</v>
      </c>
      <c r="B351" s="8" t="s">
        <v>401</v>
      </c>
      <c r="C351" s="8" t="s">
        <v>1112</v>
      </c>
      <c r="D351" s="8" t="s">
        <v>779</v>
      </c>
      <c r="E351" s="9">
        <f t="shared" si="15"/>
        <v>2025</v>
      </c>
      <c r="F351" s="8" t="str">
        <f>INDEX('Data Mahasiswa'!$N$1:$Q$14, MATCH(MID('Data Status Pendaftar'!B351, 5,2), 'Data Mahasiswa'!$N$1:$N$14,0),2)</f>
        <v>Ekonomi</v>
      </c>
      <c r="G351" s="8" t="str" cm="1">
        <f t="array" ref="G351">INDEX('Data Mahasiswa'!$Q$2:$Q$14, MATCH(MID('Data Status Pendaftar'!B351,5,3), 'Data Mahasiswa'!$N$2:$N$14&amp;TEXT('Data Mahasiswa'!$P$2:$P$14,"0"), 0))</f>
        <v xml:space="preserve"> Akuntansi</v>
      </c>
      <c r="H351" s="9">
        <f t="shared" ca="1" si="16"/>
        <v>2</v>
      </c>
      <c r="I351" s="10">
        <f>INDEX('Data Mahasiswa'!$A$1:$J$701, MATCH('Data Status Pendaftar'!B351, 'Data Mahasiswa'!$A$1:$A$701, 0), 10)</f>
        <v>3.3333333333333335</v>
      </c>
      <c r="J351" s="8" t="str" cm="1">
        <f t="array" ref="J351">INDEX('Data Mahasiswa'!B351:I351,MATCH(MIN(VLOOKUP('Data Mahasiswa'!B351:I351,'Data Mahasiswa'!$N$27:$O$36,2,0)),VLOOKUP('Data Mahasiswa'!B351:I351,'Data Mahasiswa'!$N$27:$O$36,2,0),0))</f>
        <v>B-</v>
      </c>
      <c r="K351" s="8" t="str">
        <f t="shared" si="17"/>
        <v>Eligible</v>
      </c>
    </row>
    <row r="352" spans="1:11" x14ac:dyDescent="0.3">
      <c r="A352" s="5">
        <v>351</v>
      </c>
      <c r="B352" s="5" t="s">
        <v>402</v>
      </c>
      <c r="C352" s="5" t="s">
        <v>1113</v>
      </c>
      <c r="D352" s="5" t="s">
        <v>779</v>
      </c>
      <c r="E352" s="6">
        <f t="shared" si="15"/>
        <v>2025</v>
      </c>
      <c r="F352" s="5" t="str">
        <f>INDEX('Data Mahasiswa'!$N$1:$Q$14, MATCH(MID('Data Status Pendaftar'!B352, 5,2), 'Data Mahasiswa'!$N$1:$N$14,0),2)</f>
        <v>Ekonomi</v>
      </c>
      <c r="G352" s="5" t="str" cm="1">
        <f t="array" ref="G352">INDEX('Data Mahasiswa'!$Q$2:$Q$14, MATCH(MID('Data Status Pendaftar'!B352,5,3), 'Data Mahasiswa'!$N$2:$N$14&amp;TEXT('Data Mahasiswa'!$P$2:$P$14,"0"), 0))</f>
        <v xml:space="preserve"> Akuntansi</v>
      </c>
      <c r="H352" s="6">
        <f t="shared" ca="1" si="16"/>
        <v>2</v>
      </c>
      <c r="I352" s="7">
        <f>INDEX('Data Mahasiswa'!$A$1:$J$701, MATCH('Data Status Pendaftar'!B352, 'Data Mahasiswa'!$A$1:$A$701, 0), 10)</f>
        <v>3.1354166666666665</v>
      </c>
      <c r="J352" s="5" t="str" cm="1">
        <f t="array" ref="J352">INDEX('Data Mahasiswa'!B352:I352,MATCH(MIN(VLOOKUP('Data Mahasiswa'!B352:I352,'Data Mahasiswa'!$N$27:$O$36,2,0)),VLOOKUP('Data Mahasiswa'!B352:I352,'Data Mahasiswa'!$N$27:$O$36,2,0),0))</f>
        <v>C</v>
      </c>
      <c r="K352" s="5" t="str">
        <f t="shared" si="17"/>
        <v>Eligible</v>
      </c>
    </row>
    <row r="353" spans="1:11" x14ac:dyDescent="0.3">
      <c r="A353" s="8">
        <v>352</v>
      </c>
      <c r="B353" s="8" t="s">
        <v>403</v>
      </c>
      <c r="C353" s="8" t="s">
        <v>822</v>
      </c>
      <c r="D353" s="8" t="s">
        <v>780</v>
      </c>
      <c r="E353" s="9">
        <f t="shared" si="15"/>
        <v>2025</v>
      </c>
      <c r="F353" s="8" t="str">
        <f>INDEX('Data Mahasiswa'!$N$1:$Q$14, MATCH(MID('Data Status Pendaftar'!B353, 5,2), 'Data Mahasiswa'!$N$1:$N$14,0),2)</f>
        <v>Ekonomi</v>
      </c>
      <c r="G353" s="8" t="str" cm="1">
        <f t="array" ref="G353">INDEX('Data Mahasiswa'!$Q$2:$Q$14, MATCH(MID('Data Status Pendaftar'!B353,5,3), 'Data Mahasiswa'!$N$2:$N$14&amp;TEXT('Data Mahasiswa'!$P$2:$P$14,"0"), 0))</f>
        <v xml:space="preserve"> Akuntansi</v>
      </c>
      <c r="H353" s="9">
        <f t="shared" ca="1" si="16"/>
        <v>2</v>
      </c>
      <c r="I353" s="10">
        <f>INDEX('Data Mahasiswa'!$A$1:$J$701, MATCH('Data Status Pendaftar'!B353, 'Data Mahasiswa'!$A$1:$A$701, 0), 10)</f>
        <v>3.0208333333333335</v>
      </c>
      <c r="J353" s="8" t="str" cm="1">
        <f t="array" ref="J353">INDEX('Data Mahasiswa'!B353:I353,MATCH(MIN(VLOOKUP('Data Mahasiswa'!B353:I353,'Data Mahasiswa'!$N$27:$O$36,2,0)),VLOOKUP('Data Mahasiswa'!B353:I353,'Data Mahasiswa'!$N$27:$O$36,2,0),0))</f>
        <v>E</v>
      </c>
      <c r="K353" s="8" t="str">
        <f t="shared" si="17"/>
        <v>Tidak Eligible</v>
      </c>
    </row>
    <row r="354" spans="1:11" x14ac:dyDescent="0.3">
      <c r="A354" s="5">
        <v>353</v>
      </c>
      <c r="B354" s="5" t="s">
        <v>404</v>
      </c>
      <c r="C354" s="5" t="s">
        <v>1114</v>
      </c>
      <c r="D354" s="5" t="s">
        <v>780</v>
      </c>
      <c r="E354" s="6">
        <f t="shared" si="15"/>
        <v>2025</v>
      </c>
      <c r="F354" s="5" t="str">
        <f>INDEX('Data Mahasiswa'!$N$1:$Q$14, MATCH(MID('Data Status Pendaftar'!B354, 5,2), 'Data Mahasiswa'!$N$1:$N$14,0),2)</f>
        <v>Ekonomi</v>
      </c>
      <c r="G354" s="5" t="str" cm="1">
        <f t="array" ref="G354">INDEX('Data Mahasiswa'!$Q$2:$Q$14, MATCH(MID('Data Status Pendaftar'!B354,5,3), 'Data Mahasiswa'!$N$2:$N$14&amp;TEXT('Data Mahasiswa'!$P$2:$P$14,"0"), 0))</f>
        <v xml:space="preserve"> Akuntansi</v>
      </c>
      <c r="H354" s="6">
        <f t="shared" ca="1" si="16"/>
        <v>2</v>
      </c>
      <c r="I354" s="7">
        <f>INDEX('Data Mahasiswa'!$A$1:$J$701, MATCH('Data Status Pendaftar'!B354, 'Data Mahasiswa'!$A$1:$A$701, 0), 10)</f>
        <v>3.0625</v>
      </c>
      <c r="J354" s="5" t="str" cm="1">
        <f t="array" ref="J354">INDEX('Data Mahasiswa'!B354:I354,MATCH(MIN(VLOOKUP('Data Mahasiswa'!B354:I354,'Data Mahasiswa'!$N$27:$O$36,2,0)),VLOOKUP('Data Mahasiswa'!B354:I354,'Data Mahasiswa'!$N$27:$O$36,2,0),0))</f>
        <v>C+</v>
      </c>
      <c r="K354" s="5" t="str">
        <f t="shared" si="17"/>
        <v>Eligible</v>
      </c>
    </row>
    <row r="355" spans="1:11" x14ac:dyDescent="0.3">
      <c r="A355" s="8">
        <v>354</v>
      </c>
      <c r="B355" s="8" t="s">
        <v>405</v>
      </c>
      <c r="C355" s="8" t="s">
        <v>1115</v>
      </c>
      <c r="D355" s="8" t="s">
        <v>779</v>
      </c>
      <c r="E355" s="9">
        <f t="shared" si="15"/>
        <v>2025</v>
      </c>
      <c r="F355" s="8" t="str">
        <f>INDEX('Data Mahasiswa'!$N$1:$Q$14, MATCH(MID('Data Status Pendaftar'!B355, 5,2), 'Data Mahasiswa'!$N$1:$N$14,0),2)</f>
        <v>Ekonomi</v>
      </c>
      <c r="G355" s="8" t="str" cm="1">
        <f t="array" ref="G355">INDEX('Data Mahasiswa'!$Q$2:$Q$14, MATCH(MID('Data Status Pendaftar'!B355,5,3), 'Data Mahasiswa'!$N$2:$N$14&amp;TEXT('Data Mahasiswa'!$P$2:$P$14,"0"), 0))</f>
        <v xml:space="preserve"> Akuntansi</v>
      </c>
      <c r="H355" s="9">
        <f t="shared" ca="1" si="16"/>
        <v>2</v>
      </c>
      <c r="I355" s="10">
        <f>INDEX('Data Mahasiswa'!$A$1:$J$701, MATCH('Data Status Pendaftar'!B355, 'Data Mahasiswa'!$A$1:$A$701, 0), 10)</f>
        <v>3.1145833333333335</v>
      </c>
      <c r="J355" s="8" t="str" cm="1">
        <f t="array" ref="J355">INDEX('Data Mahasiswa'!B355:I355,MATCH(MIN(VLOOKUP('Data Mahasiswa'!B355:I355,'Data Mahasiswa'!$N$27:$O$36,2,0)),VLOOKUP('Data Mahasiswa'!B355:I355,'Data Mahasiswa'!$N$27:$O$36,2,0),0))</f>
        <v>C+</v>
      </c>
      <c r="K355" s="8" t="str">
        <f t="shared" si="17"/>
        <v>Eligible</v>
      </c>
    </row>
    <row r="356" spans="1:11" x14ac:dyDescent="0.3">
      <c r="A356" s="5">
        <v>355</v>
      </c>
      <c r="B356" s="5" t="s">
        <v>406</v>
      </c>
      <c r="C356" s="5" t="s">
        <v>1116</v>
      </c>
      <c r="D356" s="5" t="s">
        <v>780</v>
      </c>
      <c r="E356" s="6">
        <f t="shared" si="15"/>
        <v>2025</v>
      </c>
      <c r="F356" s="5" t="str">
        <f>INDEX('Data Mahasiswa'!$N$1:$Q$14, MATCH(MID('Data Status Pendaftar'!B356, 5,2), 'Data Mahasiswa'!$N$1:$N$14,0),2)</f>
        <v>Ekonomi</v>
      </c>
      <c r="G356" s="5" t="str" cm="1">
        <f t="array" ref="G356">INDEX('Data Mahasiswa'!$Q$2:$Q$14, MATCH(MID('Data Status Pendaftar'!B356,5,3), 'Data Mahasiswa'!$N$2:$N$14&amp;TEXT('Data Mahasiswa'!$P$2:$P$14,"0"), 0))</f>
        <v xml:space="preserve"> Akuntansi</v>
      </c>
      <c r="H356" s="6">
        <f t="shared" ca="1" si="16"/>
        <v>2</v>
      </c>
      <c r="I356" s="7">
        <f>INDEX('Data Mahasiswa'!$A$1:$J$701, MATCH('Data Status Pendaftar'!B356, 'Data Mahasiswa'!$A$1:$A$701, 0), 10)</f>
        <v>2.6354166666666665</v>
      </c>
      <c r="J356" s="5" t="str" cm="1">
        <f t="array" ref="J356">INDEX('Data Mahasiswa'!B356:I356,MATCH(MIN(VLOOKUP('Data Mahasiswa'!B356:I356,'Data Mahasiswa'!$N$27:$O$36,2,0)),VLOOKUP('Data Mahasiswa'!B356:I356,'Data Mahasiswa'!$N$27:$O$36,2,0),0))</f>
        <v>E</v>
      </c>
      <c r="K356" s="5" t="str">
        <f t="shared" si="17"/>
        <v>Tidak Eligible</v>
      </c>
    </row>
    <row r="357" spans="1:11" x14ac:dyDescent="0.3">
      <c r="A357" s="8">
        <v>356</v>
      </c>
      <c r="B357" s="8" t="s">
        <v>407</v>
      </c>
      <c r="C357" s="8" t="s">
        <v>1117</v>
      </c>
      <c r="D357" s="8" t="s">
        <v>779</v>
      </c>
      <c r="E357" s="9">
        <f t="shared" si="15"/>
        <v>2025</v>
      </c>
      <c r="F357" s="8" t="str">
        <f>INDEX('Data Mahasiswa'!$N$1:$Q$14, MATCH(MID('Data Status Pendaftar'!B357, 5,2), 'Data Mahasiswa'!$N$1:$N$14,0),2)</f>
        <v>Ekonomi</v>
      </c>
      <c r="G357" s="8" t="str" cm="1">
        <f t="array" ref="G357">INDEX('Data Mahasiswa'!$Q$2:$Q$14, MATCH(MID('Data Status Pendaftar'!B357,5,3), 'Data Mahasiswa'!$N$2:$N$14&amp;TEXT('Data Mahasiswa'!$P$2:$P$14,"0"), 0))</f>
        <v xml:space="preserve"> Akuntansi</v>
      </c>
      <c r="H357" s="9">
        <f t="shared" ca="1" si="16"/>
        <v>2</v>
      </c>
      <c r="I357" s="10">
        <f>INDEX('Data Mahasiswa'!$A$1:$J$701, MATCH('Data Status Pendaftar'!B357, 'Data Mahasiswa'!$A$1:$A$701, 0), 10)</f>
        <v>2.8958333333333335</v>
      </c>
      <c r="J357" s="8" t="str" cm="1">
        <f t="array" ref="J357">INDEX('Data Mahasiswa'!B357:I357,MATCH(MIN(VLOOKUP('Data Mahasiswa'!B357:I357,'Data Mahasiswa'!$N$27:$O$36,2,0)),VLOOKUP('Data Mahasiswa'!B357:I357,'Data Mahasiswa'!$N$27:$O$36,2,0),0))</f>
        <v>E</v>
      </c>
      <c r="K357" s="8" t="str">
        <f t="shared" si="17"/>
        <v>Tidak Eligible</v>
      </c>
    </row>
    <row r="358" spans="1:11" x14ac:dyDescent="0.3">
      <c r="A358" s="5">
        <v>357</v>
      </c>
      <c r="B358" s="5" t="s">
        <v>408</v>
      </c>
      <c r="C358" s="5" t="s">
        <v>868</v>
      </c>
      <c r="D358" s="5" t="s">
        <v>779</v>
      </c>
      <c r="E358" s="6">
        <f t="shared" si="15"/>
        <v>2025</v>
      </c>
      <c r="F358" s="5" t="str">
        <f>INDEX('Data Mahasiswa'!$N$1:$Q$14, MATCH(MID('Data Status Pendaftar'!B358, 5,2), 'Data Mahasiswa'!$N$1:$N$14,0),2)</f>
        <v>Ekonomi</v>
      </c>
      <c r="G358" s="5" t="str" cm="1">
        <f t="array" ref="G358">INDEX('Data Mahasiswa'!$Q$2:$Q$14, MATCH(MID('Data Status Pendaftar'!B358,5,3), 'Data Mahasiswa'!$N$2:$N$14&amp;TEXT('Data Mahasiswa'!$P$2:$P$14,"0"), 0))</f>
        <v xml:space="preserve"> Akuntansi</v>
      </c>
      <c r="H358" s="6">
        <f t="shared" ca="1" si="16"/>
        <v>2</v>
      </c>
      <c r="I358" s="7">
        <f>INDEX('Data Mahasiswa'!$A$1:$J$701, MATCH('Data Status Pendaftar'!B358, 'Data Mahasiswa'!$A$1:$A$701, 0), 10)</f>
        <v>3.3125</v>
      </c>
      <c r="J358" s="5" t="str" cm="1">
        <f t="array" ref="J358">INDEX('Data Mahasiswa'!B358:I358,MATCH(MIN(VLOOKUP('Data Mahasiswa'!B358:I358,'Data Mahasiswa'!$N$27:$O$36,2,0)),VLOOKUP('Data Mahasiswa'!B358:I358,'Data Mahasiswa'!$N$27:$O$36,2,0),0))</f>
        <v>D</v>
      </c>
      <c r="K358" s="5" t="str">
        <f t="shared" si="17"/>
        <v>Tidak Eligible</v>
      </c>
    </row>
    <row r="359" spans="1:11" x14ac:dyDescent="0.3">
      <c r="A359" s="8">
        <v>358</v>
      </c>
      <c r="B359" s="8" t="s">
        <v>409</v>
      </c>
      <c r="C359" s="8" t="s">
        <v>1118</v>
      </c>
      <c r="D359" s="8" t="s">
        <v>780</v>
      </c>
      <c r="E359" s="9">
        <f t="shared" si="15"/>
        <v>2025</v>
      </c>
      <c r="F359" s="8" t="str">
        <f>INDEX('Data Mahasiswa'!$N$1:$Q$14, MATCH(MID('Data Status Pendaftar'!B359, 5,2), 'Data Mahasiswa'!$N$1:$N$14,0),2)</f>
        <v>Ekonomi</v>
      </c>
      <c r="G359" s="8" t="str" cm="1">
        <f t="array" ref="G359">INDEX('Data Mahasiswa'!$Q$2:$Q$14, MATCH(MID('Data Status Pendaftar'!B359,5,3), 'Data Mahasiswa'!$N$2:$N$14&amp;TEXT('Data Mahasiswa'!$P$2:$P$14,"0"), 0))</f>
        <v xml:space="preserve"> Akuntansi</v>
      </c>
      <c r="H359" s="9">
        <f t="shared" ca="1" si="16"/>
        <v>2</v>
      </c>
      <c r="I359" s="10">
        <f>INDEX('Data Mahasiswa'!$A$1:$J$701, MATCH('Data Status Pendaftar'!B359, 'Data Mahasiswa'!$A$1:$A$701, 0), 10)</f>
        <v>3.3541666666666665</v>
      </c>
      <c r="J359" s="8" t="str" cm="1">
        <f t="array" ref="J359">INDEX('Data Mahasiswa'!B359:I359,MATCH(MIN(VLOOKUP('Data Mahasiswa'!B359:I359,'Data Mahasiswa'!$N$27:$O$36,2,0)),VLOOKUP('Data Mahasiswa'!B359:I359,'Data Mahasiswa'!$N$27:$O$36,2,0),0))</f>
        <v>C</v>
      </c>
      <c r="K359" s="8" t="str">
        <f t="shared" si="17"/>
        <v>Eligible</v>
      </c>
    </row>
    <row r="360" spans="1:11" x14ac:dyDescent="0.3">
      <c r="A360" s="5">
        <v>359</v>
      </c>
      <c r="B360" s="5" t="s">
        <v>410</v>
      </c>
      <c r="C360" s="5" t="s">
        <v>1119</v>
      </c>
      <c r="D360" s="5" t="s">
        <v>780</v>
      </c>
      <c r="E360" s="6">
        <f t="shared" si="15"/>
        <v>2025</v>
      </c>
      <c r="F360" s="5" t="str">
        <f>INDEX('Data Mahasiswa'!$N$1:$Q$14, MATCH(MID('Data Status Pendaftar'!B360, 5,2), 'Data Mahasiswa'!$N$1:$N$14,0),2)</f>
        <v>Ekonomi</v>
      </c>
      <c r="G360" s="5" t="str" cm="1">
        <f t="array" ref="G360">INDEX('Data Mahasiswa'!$Q$2:$Q$14, MATCH(MID('Data Status Pendaftar'!B360,5,3), 'Data Mahasiswa'!$N$2:$N$14&amp;TEXT('Data Mahasiswa'!$P$2:$P$14,"0"), 0))</f>
        <v xml:space="preserve"> Akuntansi</v>
      </c>
      <c r="H360" s="6">
        <f t="shared" ca="1" si="16"/>
        <v>2</v>
      </c>
      <c r="I360" s="7">
        <f>INDEX('Data Mahasiswa'!$A$1:$J$701, MATCH('Data Status Pendaftar'!B360, 'Data Mahasiswa'!$A$1:$A$701, 0), 10)</f>
        <v>2.3958333333333335</v>
      </c>
      <c r="J360" s="5" t="str" cm="1">
        <f t="array" ref="J360">INDEX('Data Mahasiswa'!B360:I360,MATCH(MIN(VLOOKUP('Data Mahasiswa'!B360:I360,'Data Mahasiswa'!$N$27:$O$36,2,0)),VLOOKUP('Data Mahasiswa'!B360:I360,'Data Mahasiswa'!$N$27:$O$36,2,0),0))</f>
        <v>E</v>
      </c>
      <c r="K360" s="5" t="str">
        <f t="shared" si="17"/>
        <v>Tidak Eligible</v>
      </c>
    </row>
    <row r="361" spans="1:11" x14ac:dyDescent="0.3">
      <c r="A361" s="8">
        <v>360</v>
      </c>
      <c r="B361" s="8" t="s">
        <v>411</v>
      </c>
      <c r="C361" s="8" t="s">
        <v>1120</v>
      </c>
      <c r="D361" s="8" t="s">
        <v>779</v>
      </c>
      <c r="E361" s="9">
        <f t="shared" si="15"/>
        <v>2025</v>
      </c>
      <c r="F361" s="8" t="str">
        <f>INDEX('Data Mahasiswa'!$N$1:$Q$14, MATCH(MID('Data Status Pendaftar'!B361, 5,2), 'Data Mahasiswa'!$N$1:$N$14,0),2)</f>
        <v>Ekonomi</v>
      </c>
      <c r="G361" s="8" t="str" cm="1">
        <f t="array" ref="G361">INDEX('Data Mahasiswa'!$Q$2:$Q$14, MATCH(MID('Data Status Pendaftar'!B361,5,3), 'Data Mahasiswa'!$N$2:$N$14&amp;TEXT('Data Mahasiswa'!$P$2:$P$14,"0"), 0))</f>
        <v xml:space="preserve"> Akuntansi</v>
      </c>
      <c r="H361" s="9">
        <f t="shared" ca="1" si="16"/>
        <v>2</v>
      </c>
      <c r="I361" s="10">
        <f>INDEX('Data Mahasiswa'!$A$1:$J$701, MATCH('Data Status Pendaftar'!B361, 'Data Mahasiswa'!$A$1:$A$701, 0), 10)</f>
        <v>3.2604166666666665</v>
      </c>
      <c r="J361" s="8" t="str" cm="1">
        <f t="array" ref="J361">INDEX('Data Mahasiswa'!B361:I361,MATCH(MIN(VLOOKUP('Data Mahasiswa'!B361:I361,'Data Mahasiswa'!$N$27:$O$36,2,0)),VLOOKUP('Data Mahasiswa'!B361:I361,'Data Mahasiswa'!$N$27:$O$36,2,0),0))</f>
        <v>C</v>
      </c>
      <c r="K361" s="8" t="str">
        <f t="shared" si="17"/>
        <v>Eligible</v>
      </c>
    </row>
    <row r="362" spans="1:11" x14ac:dyDescent="0.3">
      <c r="A362" s="5">
        <v>361</v>
      </c>
      <c r="B362" s="5" t="s">
        <v>412</v>
      </c>
      <c r="C362" s="5" t="s">
        <v>1121</v>
      </c>
      <c r="D362" s="5" t="s">
        <v>779</v>
      </c>
      <c r="E362" s="6">
        <f t="shared" si="15"/>
        <v>2025</v>
      </c>
      <c r="F362" s="5" t="str">
        <f>INDEX('Data Mahasiswa'!$N$1:$Q$14, MATCH(MID('Data Status Pendaftar'!B362, 5,2), 'Data Mahasiswa'!$N$1:$N$14,0),2)</f>
        <v>Ekonomi</v>
      </c>
      <c r="G362" s="5" t="str" cm="1">
        <f t="array" ref="G362">INDEX('Data Mahasiswa'!$Q$2:$Q$14, MATCH(MID('Data Status Pendaftar'!B362,5,3), 'Data Mahasiswa'!$N$2:$N$14&amp;TEXT('Data Mahasiswa'!$P$2:$P$14,"0"), 0))</f>
        <v xml:space="preserve"> Akuntansi</v>
      </c>
      <c r="H362" s="6">
        <f t="shared" ca="1" si="16"/>
        <v>2</v>
      </c>
      <c r="I362" s="7">
        <f>INDEX('Data Mahasiswa'!$A$1:$J$701, MATCH('Data Status Pendaftar'!B362, 'Data Mahasiswa'!$A$1:$A$701, 0), 10)</f>
        <v>3.0520833333333335</v>
      </c>
      <c r="J362" s="5" t="str" cm="1">
        <f t="array" ref="J362">INDEX('Data Mahasiswa'!B362:I362,MATCH(MIN(VLOOKUP('Data Mahasiswa'!B362:I362,'Data Mahasiswa'!$N$27:$O$36,2,0)),VLOOKUP('Data Mahasiswa'!B362:I362,'Data Mahasiswa'!$N$27:$O$36,2,0),0))</f>
        <v>D</v>
      </c>
      <c r="K362" s="5" t="str">
        <f t="shared" si="17"/>
        <v>Tidak Eligible</v>
      </c>
    </row>
    <row r="363" spans="1:11" x14ac:dyDescent="0.3">
      <c r="A363" s="8">
        <v>362</v>
      </c>
      <c r="B363" s="8" t="s">
        <v>413</v>
      </c>
      <c r="C363" s="8" t="s">
        <v>1122</v>
      </c>
      <c r="D363" s="8" t="s">
        <v>780</v>
      </c>
      <c r="E363" s="9">
        <f t="shared" si="15"/>
        <v>2025</v>
      </c>
      <c r="F363" s="8" t="str">
        <f>INDEX('Data Mahasiswa'!$N$1:$Q$14, MATCH(MID('Data Status Pendaftar'!B363, 5,2), 'Data Mahasiswa'!$N$1:$N$14,0),2)</f>
        <v>Ekonomi</v>
      </c>
      <c r="G363" s="8" t="str" cm="1">
        <f t="array" ref="G363">INDEX('Data Mahasiswa'!$Q$2:$Q$14, MATCH(MID('Data Status Pendaftar'!B363,5,3), 'Data Mahasiswa'!$N$2:$N$14&amp;TEXT('Data Mahasiswa'!$P$2:$P$14,"0"), 0))</f>
        <v xml:space="preserve"> Akuntansi</v>
      </c>
      <c r="H363" s="9">
        <f t="shared" ca="1" si="16"/>
        <v>2</v>
      </c>
      <c r="I363" s="10">
        <f>INDEX('Data Mahasiswa'!$A$1:$J$701, MATCH('Data Status Pendaftar'!B363, 'Data Mahasiswa'!$A$1:$A$701, 0), 10)</f>
        <v>3.0833333333333335</v>
      </c>
      <c r="J363" s="8" t="str" cm="1">
        <f t="array" ref="J363">INDEX('Data Mahasiswa'!B363:I363,MATCH(MIN(VLOOKUP('Data Mahasiswa'!B363:I363,'Data Mahasiswa'!$N$27:$O$36,2,0)),VLOOKUP('Data Mahasiswa'!B363:I363,'Data Mahasiswa'!$N$27:$O$36,2,0),0))</f>
        <v>E</v>
      </c>
      <c r="K363" s="8" t="str">
        <f t="shared" si="17"/>
        <v>Tidak Eligible</v>
      </c>
    </row>
    <row r="364" spans="1:11" x14ac:dyDescent="0.3">
      <c r="A364" s="5">
        <v>363</v>
      </c>
      <c r="B364" s="5" t="s">
        <v>414</v>
      </c>
      <c r="C364" s="5" t="s">
        <v>1123</v>
      </c>
      <c r="D364" s="5" t="s">
        <v>779</v>
      </c>
      <c r="E364" s="6">
        <f t="shared" si="15"/>
        <v>2025</v>
      </c>
      <c r="F364" s="5" t="str">
        <f>INDEX('Data Mahasiswa'!$N$1:$Q$14, MATCH(MID('Data Status Pendaftar'!B364, 5,2), 'Data Mahasiswa'!$N$1:$N$14,0),2)</f>
        <v>Ekonomi</v>
      </c>
      <c r="G364" s="5" t="str" cm="1">
        <f t="array" ref="G364">INDEX('Data Mahasiswa'!$Q$2:$Q$14, MATCH(MID('Data Status Pendaftar'!B364,5,3), 'Data Mahasiswa'!$N$2:$N$14&amp;TEXT('Data Mahasiswa'!$P$2:$P$14,"0"), 0))</f>
        <v xml:space="preserve"> Akuntansi</v>
      </c>
      <c r="H364" s="6">
        <f t="shared" ca="1" si="16"/>
        <v>2</v>
      </c>
      <c r="I364" s="7">
        <f>INDEX('Data Mahasiswa'!$A$1:$J$701, MATCH('Data Status Pendaftar'!B364, 'Data Mahasiswa'!$A$1:$A$701, 0), 10)</f>
        <v>3.0625</v>
      </c>
      <c r="J364" s="5" t="str" cm="1">
        <f t="array" ref="J364">INDEX('Data Mahasiswa'!B364:I364,MATCH(MIN(VLOOKUP('Data Mahasiswa'!B364:I364,'Data Mahasiswa'!$N$27:$O$36,2,0)),VLOOKUP('Data Mahasiswa'!B364:I364,'Data Mahasiswa'!$N$27:$O$36,2,0),0))</f>
        <v>C</v>
      </c>
      <c r="K364" s="5" t="str">
        <f t="shared" si="17"/>
        <v>Eligible</v>
      </c>
    </row>
    <row r="365" spans="1:11" x14ac:dyDescent="0.3">
      <c r="A365" s="8">
        <v>364</v>
      </c>
      <c r="B365" s="8" t="s">
        <v>415</v>
      </c>
      <c r="C365" s="8" t="s">
        <v>1124</v>
      </c>
      <c r="D365" s="8" t="s">
        <v>780</v>
      </c>
      <c r="E365" s="9">
        <f t="shared" si="15"/>
        <v>2025</v>
      </c>
      <c r="F365" s="8" t="str">
        <f>INDEX('Data Mahasiswa'!$N$1:$Q$14, MATCH(MID('Data Status Pendaftar'!B365, 5,2), 'Data Mahasiswa'!$N$1:$N$14,0),2)</f>
        <v>Ekonomi</v>
      </c>
      <c r="G365" s="8" t="str" cm="1">
        <f t="array" ref="G365">INDEX('Data Mahasiswa'!$Q$2:$Q$14, MATCH(MID('Data Status Pendaftar'!B365,5,3), 'Data Mahasiswa'!$N$2:$N$14&amp;TEXT('Data Mahasiswa'!$P$2:$P$14,"0"), 0))</f>
        <v xml:space="preserve"> Akuntansi</v>
      </c>
      <c r="H365" s="9">
        <f t="shared" ca="1" si="16"/>
        <v>2</v>
      </c>
      <c r="I365" s="10">
        <f>INDEX('Data Mahasiswa'!$A$1:$J$701, MATCH('Data Status Pendaftar'!B365, 'Data Mahasiswa'!$A$1:$A$701, 0), 10)</f>
        <v>2.6979166666666665</v>
      </c>
      <c r="J365" s="8" t="str" cm="1">
        <f t="array" ref="J365">INDEX('Data Mahasiswa'!B365:I365,MATCH(MIN(VLOOKUP('Data Mahasiswa'!B365:I365,'Data Mahasiswa'!$N$27:$O$36,2,0)),VLOOKUP('Data Mahasiswa'!B365:I365,'Data Mahasiswa'!$N$27:$O$36,2,0),0))</f>
        <v>C</v>
      </c>
      <c r="K365" s="8" t="str">
        <f t="shared" si="17"/>
        <v>Tidak Eligible</v>
      </c>
    </row>
    <row r="366" spans="1:11" x14ac:dyDescent="0.3">
      <c r="A366" s="5">
        <v>365</v>
      </c>
      <c r="B366" s="5" t="s">
        <v>416</v>
      </c>
      <c r="C366" s="5" t="s">
        <v>1125</v>
      </c>
      <c r="D366" s="5" t="s">
        <v>780</v>
      </c>
      <c r="E366" s="6">
        <f t="shared" si="15"/>
        <v>2025</v>
      </c>
      <c r="F366" s="5" t="str">
        <f>INDEX('Data Mahasiswa'!$N$1:$Q$14, MATCH(MID('Data Status Pendaftar'!B366, 5,2), 'Data Mahasiswa'!$N$1:$N$14,0),2)</f>
        <v>Ekonomi</v>
      </c>
      <c r="G366" s="5" t="str" cm="1">
        <f t="array" ref="G366">INDEX('Data Mahasiswa'!$Q$2:$Q$14, MATCH(MID('Data Status Pendaftar'!B366,5,3), 'Data Mahasiswa'!$N$2:$N$14&amp;TEXT('Data Mahasiswa'!$P$2:$P$14,"0"), 0))</f>
        <v xml:space="preserve"> Akuntansi</v>
      </c>
      <c r="H366" s="6">
        <f t="shared" ca="1" si="16"/>
        <v>2</v>
      </c>
      <c r="I366" s="7">
        <f>INDEX('Data Mahasiswa'!$A$1:$J$701, MATCH('Data Status Pendaftar'!B366, 'Data Mahasiswa'!$A$1:$A$701, 0), 10)</f>
        <v>2.2916666666666665</v>
      </c>
      <c r="J366" s="5" t="str" cm="1">
        <f t="array" ref="J366">INDEX('Data Mahasiswa'!B366:I366,MATCH(MIN(VLOOKUP('Data Mahasiswa'!B366:I366,'Data Mahasiswa'!$N$27:$O$36,2,0)),VLOOKUP('Data Mahasiswa'!B366:I366,'Data Mahasiswa'!$N$27:$O$36,2,0),0))</f>
        <v>E</v>
      </c>
      <c r="K366" s="5" t="str">
        <f t="shared" si="17"/>
        <v>Tidak Eligible</v>
      </c>
    </row>
    <row r="367" spans="1:11" x14ac:dyDescent="0.3">
      <c r="A367" s="8">
        <v>366</v>
      </c>
      <c r="B367" s="8" t="s">
        <v>417</v>
      </c>
      <c r="C367" s="8" t="s">
        <v>1126</v>
      </c>
      <c r="D367" s="8" t="s">
        <v>780</v>
      </c>
      <c r="E367" s="9">
        <f t="shared" si="15"/>
        <v>2025</v>
      </c>
      <c r="F367" s="8" t="str">
        <f>INDEX('Data Mahasiswa'!$N$1:$Q$14, MATCH(MID('Data Status Pendaftar'!B367, 5,2), 'Data Mahasiswa'!$N$1:$N$14,0),2)</f>
        <v>Ekonomi</v>
      </c>
      <c r="G367" s="8" t="str" cm="1">
        <f t="array" ref="G367">INDEX('Data Mahasiswa'!$Q$2:$Q$14, MATCH(MID('Data Status Pendaftar'!B367,5,3), 'Data Mahasiswa'!$N$2:$N$14&amp;TEXT('Data Mahasiswa'!$P$2:$P$14,"0"), 0))</f>
        <v xml:space="preserve"> Akuntansi</v>
      </c>
      <c r="H367" s="9">
        <f t="shared" ca="1" si="16"/>
        <v>2</v>
      </c>
      <c r="I367" s="10">
        <f>INDEX('Data Mahasiswa'!$A$1:$J$701, MATCH('Data Status Pendaftar'!B367, 'Data Mahasiswa'!$A$1:$A$701, 0), 10)</f>
        <v>3.0520833333333335</v>
      </c>
      <c r="J367" s="8" t="str" cm="1">
        <f t="array" ref="J367">INDEX('Data Mahasiswa'!B367:I367,MATCH(MIN(VLOOKUP('Data Mahasiswa'!B367:I367,'Data Mahasiswa'!$N$27:$O$36,2,0)),VLOOKUP('Data Mahasiswa'!B367:I367,'Data Mahasiswa'!$N$27:$O$36,2,0),0))</f>
        <v>E</v>
      </c>
      <c r="K367" s="8" t="str">
        <f t="shared" si="17"/>
        <v>Tidak Eligible</v>
      </c>
    </row>
    <row r="368" spans="1:11" x14ac:dyDescent="0.3">
      <c r="A368" s="5">
        <v>367</v>
      </c>
      <c r="B368" s="5" t="s">
        <v>418</v>
      </c>
      <c r="C368" s="5" t="s">
        <v>1074</v>
      </c>
      <c r="D368" s="5" t="s">
        <v>780</v>
      </c>
      <c r="E368" s="6">
        <f t="shared" si="15"/>
        <v>2025</v>
      </c>
      <c r="F368" s="5" t="str">
        <f>INDEX('Data Mahasiswa'!$N$1:$Q$14, MATCH(MID('Data Status Pendaftar'!B368, 5,2), 'Data Mahasiswa'!$N$1:$N$14,0),2)</f>
        <v>Ekonomi</v>
      </c>
      <c r="G368" s="5" t="str" cm="1">
        <f t="array" ref="G368">INDEX('Data Mahasiswa'!$Q$2:$Q$14, MATCH(MID('Data Status Pendaftar'!B368,5,3), 'Data Mahasiswa'!$N$2:$N$14&amp;TEXT('Data Mahasiswa'!$P$2:$P$14,"0"), 0))</f>
        <v xml:space="preserve"> Akuntansi</v>
      </c>
      <c r="H368" s="6">
        <f t="shared" ca="1" si="16"/>
        <v>2</v>
      </c>
      <c r="I368" s="7">
        <f>INDEX('Data Mahasiswa'!$A$1:$J$701, MATCH('Data Status Pendaftar'!B368, 'Data Mahasiswa'!$A$1:$A$701, 0), 10)</f>
        <v>3.15625</v>
      </c>
      <c r="J368" s="5" t="str" cm="1">
        <f t="array" ref="J368">INDEX('Data Mahasiswa'!B368:I368,MATCH(MIN(VLOOKUP('Data Mahasiswa'!B368:I368,'Data Mahasiswa'!$N$27:$O$36,2,0)),VLOOKUP('Data Mahasiswa'!B368:I368,'Data Mahasiswa'!$N$27:$O$36,2,0),0))</f>
        <v>C</v>
      </c>
      <c r="K368" s="5" t="str">
        <f t="shared" si="17"/>
        <v>Eligible</v>
      </c>
    </row>
    <row r="369" spans="1:11" x14ac:dyDescent="0.3">
      <c r="A369" s="8">
        <v>368</v>
      </c>
      <c r="B369" s="8" t="s">
        <v>419</v>
      </c>
      <c r="C369" s="8" t="s">
        <v>1127</v>
      </c>
      <c r="D369" s="8" t="s">
        <v>780</v>
      </c>
      <c r="E369" s="9">
        <f t="shared" si="15"/>
        <v>2025</v>
      </c>
      <c r="F369" s="8" t="str">
        <f>INDEX('Data Mahasiswa'!$N$1:$Q$14, MATCH(MID('Data Status Pendaftar'!B369, 5,2), 'Data Mahasiswa'!$N$1:$N$14,0),2)</f>
        <v>Ekonomi</v>
      </c>
      <c r="G369" s="8" t="str" cm="1">
        <f t="array" ref="G369">INDEX('Data Mahasiswa'!$Q$2:$Q$14, MATCH(MID('Data Status Pendaftar'!B369,5,3), 'Data Mahasiswa'!$N$2:$N$14&amp;TEXT('Data Mahasiswa'!$P$2:$P$14,"0"), 0))</f>
        <v xml:space="preserve"> Akuntansi</v>
      </c>
      <c r="H369" s="9">
        <f t="shared" ca="1" si="16"/>
        <v>2</v>
      </c>
      <c r="I369" s="10">
        <f>INDEX('Data Mahasiswa'!$A$1:$J$701, MATCH('Data Status Pendaftar'!B369, 'Data Mahasiswa'!$A$1:$A$701, 0), 10)</f>
        <v>2.8541666666666665</v>
      </c>
      <c r="J369" s="8" t="str" cm="1">
        <f t="array" ref="J369">INDEX('Data Mahasiswa'!B369:I369,MATCH(MIN(VLOOKUP('Data Mahasiswa'!B369:I369,'Data Mahasiswa'!$N$27:$O$36,2,0)),VLOOKUP('Data Mahasiswa'!B369:I369,'Data Mahasiswa'!$N$27:$O$36,2,0),0))</f>
        <v>E</v>
      </c>
      <c r="K369" s="8" t="str">
        <f t="shared" si="17"/>
        <v>Tidak Eligible</v>
      </c>
    </row>
    <row r="370" spans="1:11" x14ac:dyDescent="0.3">
      <c r="A370" s="5">
        <v>369</v>
      </c>
      <c r="B370" s="5" t="s">
        <v>420</v>
      </c>
      <c r="C370" s="5" t="s">
        <v>1128</v>
      </c>
      <c r="D370" s="5" t="s">
        <v>780</v>
      </c>
      <c r="E370" s="6">
        <f t="shared" si="15"/>
        <v>2025</v>
      </c>
      <c r="F370" s="5" t="str">
        <f>INDEX('Data Mahasiswa'!$N$1:$Q$14, MATCH(MID('Data Status Pendaftar'!B370, 5,2), 'Data Mahasiswa'!$N$1:$N$14,0),2)</f>
        <v>Ekonomi</v>
      </c>
      <c r="G370" s="5" t="str" cm="1">
        <f t="array" ref="G370">INDEX('Data Mahasiswa'!$Q$2:$Q$14, MATCH(MID('Data Status Pendaftar'!B370,5,3), 'Data Mahasiswa'!$N$2:$N$14&amp;TEXT('Data Mahasiswa'!$P$2:$P$14,"0"), 0))</f>
        <v>Ekonomi Pembangunan</v>
      </c>
      <c r="H370" s="6">
        <f t="shared" ca="1" si="16"/>
        <v>2</v>
      </c>
      <c r="I370" s="7">
        <f>INDEX('Data Mahasiswa'!$A$1:$J$701, MATCH('Data Status Pendaftar'!B370, 'Data Mahasiswa'!$A$1:$A$701, 0), 10)</f>
        <v>3.0416666666666665</v>
      </c>
      <c r="J370" s="5" t="str" cm="1">
        <f t="array" ref="J370">INDEX('Data Mahasiswa'!B370:I370,MATCH(MIN(VLOOKUP('Data Mahasiswa'!B370:I370,'Data Mahasiswa'!$N$27:$O$36,2,0)),VLOOKUP('Data Mahasiswa'!B370:I370,'Data Mahasiswa'!$N$27:$O$36,2,0),0))</f>
        <v>E</v>
      </c>
      <c r="K370" s="5" t="str">
        <f t="shared" si="17"/>
        <v>Tidak Eligible</v>
      </c>
    </row>
    <row r="371" spans="1:11" x14ac:dyDescent="0.3">
      <c r="A371" s="8">
        <v>370</v>
      </c>
      <c r="B371" s="8" t="s">
        <v>421</v>
      </c>
      <c r="C371" s="8" t="s">
        <v>1129</v>
      </c>
      <c r="D371" s="8" t="s">
        <v>780</v>
      </c>
      <c r="E371" s="9">
        <f t="shared" si="15"/>
        <v>2025</v>
      </c>
      <c r="F371" s="8" t="str">
        <f>INDEX('Data Mahasiswa'!$N$1:$Q$14, MATCH(MID('Data Status Pendaftar'!B371, 5,2), 'Data Mahasiswa'!$N$1:$N$14,0),2)</f>
        <v>Ekonomi</v>
      </c>
      <c r="G371" s="8" t="str" cm="1">
        <f t="array" ref="G371">INDEX('Data Mahasiswa'!$Q$2:$Q$14, MATCH(MID('Data Status Pendaftar'!B371,5,3), 'Data Mahasiswa'!$N$2:$N$14&amp;TEXT('Data Mahasiswa'!$P$2:$P$14,"0"), 0))</f>
        <v>Ekonomi Pembangunan</v>
      </c>
      <c r="H371" s="9">
        <f t="shared" ca="1" si="16"/>
        <v>2</v>
      </c>
      <c r="I371" s="10">
        <f>INDEX('Data Mahasiswa'!$A$1:$J$701, MATCH('Data Status Pendaftar'!B371, 'Data Mahasiswa'!$A$1:$A$701, 0), 10)</f>
        <v>3.5104166666666665</v>
      </c>
      <c r="J371" s="8" t="str" cm="1">
        <f t="array" ref="J371">INDEX('Data Mahasiswa'!B371:I371,MATCH(MIN(VLOOKUP('Data Mahasiswa'!B371:I371,'Data Mahasiswa'!$N$27:$O$36,2,0)),VLOOKUP('Data Mahasiswa'!B371:I371,'Data Mahasiswa'!$N$27:$O$36,2,0),0))</f>
        <v>B-</v>
      </c>
      <c r="K371" s="8" t="str">
        <f t="shared" si="17"/>
        <v>Eligible</v>
      </c>
    </row>
    <row r="372" spans="1:11" x14ac:dyDescent="0.3">
      <c r="A372" s="5">
        <v>371</v>
      </c>
      <c r="B372" s="5" t="s">
        <v>422</v>
      </c>
      <c r="C372" s="5" t="s">
        <v>1130</v>
      </c>
      <c r="D372" s="5" t="s">
        <v>780</v>
      </c>
      <c r="E372" s="6">
        <f t="shared" si="15"/>
        <v>2025</v>
      </c>
      <c r="F372" s="5" t="str">
        <f>INDEX('Data Mahasiswa'!$N$1:$Q$14, MATCH(MID('Data Status Pendaftar'!B372, 5,2), 'Data Mahasiswa'!$N$1:$N$14,0),2)</f>
        <v>Ekonomi</v>
      </c>
      <c r="G372" s="5" t="str" cm="1">
        <f t="array" ref="G372">INDEX('Data Mahasiswa'!$Q$2:$Q$14, MATCH(MID('Data Status Pendaftar'!B372,5,3), 'Data Mahasiswa'!$N$2:$N$14&amp;TEXT('Data Mahasiswa'!$P$2:$P$14,"0"), 0))</f>
        <v>Ekonomi Pembangunan</v>
      </c>
      <c r="H372" s="6">
        <f t="shared" ca="1" si="16"/>
        <v>2</v>
      </c>
      <c r="I372" s="7">
        <f>INDEX('Data Mahasiswa'!$A$1:$J$701, MATCH('Data Status Pendaftar'!B372, 'Data Mahasiswa'!$A$1:$A$701, 0), 10)</f>
        <v>2.7916666666666665</v>
      </c>
      <c r="J372" s="5" t="str" cm="1">
        <f t="array" ref="J372">INDEX('Data Mahasiswa'!B372:I372,MATCH(MIN(VLOOKUP('Data Mahasiswa'!B372:I372,'Data Mahasiswa'!$N$27:$O$36,2,0)),VLOOKUP('Data Mahasiswa'!B372:I372,'Data Mahasiswa'!$N$27:$O$36,2,0),0))</f>
        <v>D</v>
      </c>
      <c r="K372" s="5" t="str">
        <f t="shared" si="17"/>
        <v>Tidak Eligible</v>
      </c>
    </row>
    <row r="373" spans="1:11" x14ac:dyDescent="0.3">
      <c r="A373" s="8">
        <v>372</v>
      </c>
      <c r="B373" s="8" t="s">
        <v>423</v>
      </c>
      <c r="C373" s="8" t="s">
        <v>1131</v>
      </c>
      <c r="D373" s="8" t="s">
        <v>780</v>
      </c>
      <c r="E373" s="9">
        <f t="shared" si="15"/>
        <v>2025</v>
      </c>
      <c r="F373" s="8" t="str">
        <f>INDEX('Data Mahasiswa'!$N$1:$Q$14, MATCH(MID('Data Status Pendaftar'!B373, 5,2), 'Data Mahasiswa'!$N$1:$N$14,0),2)</f>
        <v>Ekonomi</v>
      </c>
      <c r="G373" s="8" t="str" cm="1">
        <f t="array" ref="G373">INDEX('Data Mahasiswa'!$Q$2:$Q$14, MATCH(MID('Data Status Pendaftar'!B373,5,3), 'Data Mahasiswa'!$N$2:$N$14&amp;TEXT('Data Mahasiswa'!$P$2:$P$14,"0"), 0))</f>
        <v>Ekonomi Pembangunan</v>
      </c>
      <c r="H373" s="9">
        <f t="shared" ca="1" si="16"/>
        <v>2</v>
      </c>
      <c r="I373" s="10">
        <f>INDEX('Data Mahasiswa'!$A$1:$J$701, MATCH('Data Status Pendaftar'!B373, 'Data Mahasiswa'!$A$1:$A$701, 0), 10)</f>
        <v>3.5833333333333335</v>
      </c>
      <c r="J373" s="8" t="str" cm="1">
        <f t="array" ref="J373">INDEX('Data Mahasiswa'!B373:I373,MATCH(MIN(VLOOKUP('Data Mahasiswa'!B373:I373,'Data Mahasiswa'!$N$27:$O$36,2,0)),VLOOKUP('Data Mahasiswa'!B373:I373,'Data Mahasiswa'!$N$27:$O$36,2,0),0))</f>
        <v>B</v>
      </c>
      <c r="K373" s="8" t="str">
        <f t="shared" si="17"/>
        <v>Eligible</v>
      </c>
    </row>
    <row r="374" spans="1:11" x14ac:dyDescent="0.3">
      <c r="A374" s="5">
        <v>373</v>
      </c>
      <c r="B374" s="5" t="s">
        <v>424</v>
      </c>
      <c r="C374" s="5" t="s">
        <v>1132</v>
      </c>
      <c r="D374" s="5" t="s">
        <v>779</v>
      </c>
      <c r="E374" s="6">
        <f t="shared" si="15"/>
        <v>2025</v>
      </c>
      <c r="F374" s="5" t="str">
        <f>INDEX('Data Mahasiswa'!$N$1:$Q$14, MATCH(MID('Data Status Pendaftar'!B374, 5,2), 'Data Mahasiswa'!$N$1:$N$14,0),2)</f>
        <v>Ekonomi</v>
      </c>
      <c r="G374" s="5" t="str" cm="1">
        <f t="array" ref="G374">INDEX('Data Mahasiswa'!$Q$2:$Q$14, MATCH(MID('Data Status Pendaftar'!B374,5,3), 'Data Mahasiswa'!$N$2:$N$14&amp;TEXT('Data Mahasiswa'!$P$2:$P$14,"0"), 0))</f>
        <v>Ekonomi Pembangunan</v>
      </c>
      <c r="H374" s="6">
        <f t="shared" ca="1" si="16"/>
        <v>2</v>
      </c>
      <c r="I374" s="7">
        <f>INDEX('Data Mahasiswa'!$A$1:$J$701, MATCH('Data Status Pendaftar'!B374, 'Data Mahasiswa'!$A$1:$A$701, 0), 10)</f>
        <v>2.6666666666666665</v>
      </c>
      <c r="J374" s="5" t="str" cm="1">
        <f t="array" ref="J374">INDEX('Data Mahasiswa'!B374:I374,MATCH(MIN(VLOOKUP('Data Mahasiswa'!B374:I374,'Data Mahasiswa'!$N$27:$O$36,2,0)),VLOOKUP('Data Mahasiswa'!B374:I374,'Data Mahasiswa'!$N$27:$O$36,2,0),0))</f>
        <v>E</v>
      </c>
      <c r="K374" s="5" t="str">
        <f t="shared" si="17"/>
        <v>Tidak Eligible</v>
      </c>
    </row>
    <row r="375" spans="1:11" x14ac:dyDescent="0.3">
      <c r="A375" s="8">
        <v>374</v>
      </c>
      <c r="B375" s="8" t="s">
        <v>425</v>
      </c>
      <c r="C375" s="8" t="s">
        <v>810</v>
      </c>
      <c r="D375" s="8" t="s">
        <v>780</v>
      </c>
      <c r="E375" s="9">
        <f t="shared" si="15"/>
        <v>2025</v>
      </c>
      <c r="F375" s="8" t="str">
        <f>INDEX('Data Mahasiswa'!$N$1:$Q$14, MATCH(MID('Data Status Pendaftar'!B375, 5,2), 'Data Mahasiswa'!$N$1:$N$14,0),2)</f>
        <v>Ekonomi</v>
      </c>
      <c r="G375" s="8" t="str" cm="1">
        <f t="array" ref="G375">INDEX('Data Mahasiswa'!$Q$2:$Q$14, MATCH(MID('Data Status Pendaftar'!B375,5,3), 'Data Mahasiswa'!$N$2:$N$14&amp;TEXT('Data Mahasiswa'!$P$2:$P$14,"0"), 0))</f>
        <v>Ekonomi Pembangunan</v>
      </c>
      <c r="H375" s="9">
        <f t="shared" ca="1" si="16"/>
        <v>2</v>
      </c>
      <c r="I375" s="10">
        <f>INDEX('Data Mahasiswa'!$A$1:$J$701, MATCH('Data Status Pendaftar'!B375, 'Data Mahasiswa'!$A$1:$A$701, 0), 10)</f>
        <v>2.8333333333333335</v>
      </c>
      <c r="J375" s="8" t="str" cm="1">
        <f t="array" ref="J375">INDEX('Data Mahasiswa'!B375:I375,MATCH(MIN(VLOOKUP('Data Mahasiswa'!B375:I375,'Data Mahasiswa'!$N$27:$O$36,2,0)),VLOOKUP('Data Mahasiswa'!B375:I375,'Data Mahasiswa'!$N$27:$O$36,2,0),0))</f>
        <v>E</v>
      </c>
      <c r="K375" s="8" t="str">
        <f t="shared" si="17"/>
        <v>Tidak Eligible</v>
      </c>
    </row>
    <row r="376" spans="1:11" x14ac:dyDescent="0.3">
      <c r="A376" s="5">
        <v>375</v>
      </c>
      <c r="B376" s="5" t="s">
        <v>426</v>
      </c>
      <c r="C376" s="5" t="s">
        <v>1133</v>
      </c>
      <c r="D376" s="5" t="s">
        <v>779</v>
      </c>
      <c r="E376" s="6">
        <f t="shared" si="15"/>
        <v>2025</v>
      </c>
      <c r="F376" s="5" t="str">
        <f>INDEX('Data Mahasiswa'!$N$1:$Q$14, MATCH(MID('Data Status Pendaftar'!B376, 5,2), 'Data Mahasiswa'!$N$1:$N$14,0),2)</f>
        <v>Ekonomi</v>
      </c>
      <c r="G376" s="5" t="str" cm="1">
        <f t="array" ref="G376">INDEX('Data Mahasiswa'!$Q$2:$Q$14, MATCH(MID('Data Status Pendaftar'!B376,5,3), 'Data Mahasiswa'!$N$2:$N$14&amp;TEXT('Data Mahasiswa'!$P$2:$P$14,"0"), 0))</f>
        <v>Ekonomi Pembangunan</v>
      </c>
      <c r="H376" s="6">
        <f t="shared" ca="1" si="16"/>
        <v>2</v>
      </c>
      <c r="I376" s="7">
        <f>INDEX('Data Mahasiswa'!$A$1:$J$701, MATCH('Data Status Pendaftar'!B376, 'Data Mahasiswa'!$A$1:$A$701, 0), 10)</f>
        <v>3.1354166666666665</v>
      </c>
      <c r="J376" s="5" t="str" cm="1">
        <f t="array" ref="J376">INDEX('Data Mahasiswa'!B376:I376,MATCH(MIN(VLOOKUP('Data Mahasiswa'!B376:I376,'Data Mahasiswa'!$N$27:$O$36,2,0)),VLOOKUP('Data Mahasiswa'!B376:I376,'Data Mahasiswa'!$N$27:$O$36,2,0),0))</f>
        <v>E</v>
      </c>
      <c r="K376" s="5" t="str">
        <f t="shared" si="17"/>
        <v>Tidak Eligible</v>
      </c>
    </row>
    <row r="377" spans="1:11" x14ac:dyDescent="0.3">
      <c r="A377" s="8">
        <v>376</v>
      </c>
      <c r="B377" s="8" t="s">
        <v>427</v>
      </c>
      <c r="C377" s="8" t="s">
        <v>1134</v>
      </c>
      <c r="D377" s="8" t="s">
        <v>779</v>
      </c>
      <c r="E377" s="9">
        <f t="shared" si="15"/>
        <v>2025</v>
      </c>
      <c r="F377" s="8" t="str">
        <f>INDEX('Data Mahasiswa'!$N$1:$Q$14, MATCH(MID('Data Status Pendaftar'!B377, 5,2), 'Data Mahasiswa'!$N$1:$N$14,0),2)</f>
        <v>Ekonomi</v>
      </c>
      <c r="G377" s="8" t="str" cm="1">
        <f t="array" ref="G377">INDEX('Data Mahasiswa'!$Q$2:$Q$14, MATCH(MID('Data Status Pendaftar'!B377,5,3), 'Data Mahasiswa'!$N$2:$N$14&amp;TEXT('Data Mahasiswa'!$P$2:$P$14,"0"), 0))</f>
        <v>Ekonomi Pembangunan</v>
      </c>
      <c r="H377" s="9">
        <f t="shared" ca="1" si="16"/>
        <v>2</v>
      </c>
      <c r="I377" s="10">
        <f>INDEX('Data Mahasiswa'!$A$1:$J$701, MATCH('Data Status Pendaftar'!B377, 'Data Mahasiswa'!$A$1:$A$701, 0), 10)</f>
        <v>3.3541666666666665</v>
      </c>
      <c r="J377" s="8" t="str" cm="1">
        <f t="array" ref="J377">INDEX('Data Mahasiswa'!B377:I377,MATCH(MIN(VLOOKUP('Data Mahasiswa'!B377:I377,'Data Mahasiswa'!$N$27:$O$36,2,0)),VLOOKUP('Data Mahasiswa'!B377:I377,'Data Mahasiswa'!$N$27:$O$36,2,0),0))</f>
        <v>C</v>
      </c>
      <c r="K377" s="8" t="str">
        <f t="shared" si="17"/>
        <v>Eligible</v>
      </c>
    </row>
    <row r="378" spans="1:11" x14ac:dyDescent="0.3">
      <c r="A378" s="5">
        <v>377</v>
      </c>
      <c r="B378" s="5" t="s">
        <v>428</v>
      </c>
      <c r="C378" s="5" t="s">
        <v>1135</v>
      </c>
      <c r="D378" s="5" t="s">
        <v>779</v>
      </c>
      <c r="E378" s="6">
        <f t="shared" si="15"/>
        <v>2025</v>
      </c>
      <c r="F378" s="5" t="str">
        <f>INDEX('Data Mahasiswa'!$N$1:$Q$14, MATCH(MID('Data Status Pendaftar'!B378, 5,2), 'Data Mahasiswa'!$N$1:$N$14,0),2)</f>
        <v>Ekonomi</v>
      </c>
      <c r="G378" s="5" t="str" cm="1">
        <f t="array" ref="G378">INDEX('Data Mahasiswa'!$Q$2:$Q$14, MATCH(MID('Data Status Pendaftar'!B378,5,3), 'Data Mahasiswa'!$N$2:$N$14&amp;TEXT('Data Mahasiswa'!$P$2:$P$14,"0"), 0))</f>
        <v>Ekonomi Pembangunan</v>
      </c>
      <c r="H378" s="6">
        <f t="shared" ca="1" si="16"/>
        <v>2</v>
      </c>
      <c r="I378" s="7">
        <f>INDEX('Data Mahasiswa'!$A$1:$J$701, MATCH('Data Status Pendaftar'!B378, 'Data Mahasiswa'!$A$1:$A$701, 0), 10)</f>
        <v>2.8958333333333335</v>
      </c>
      <c r="J378" s="5" t="str" cm="1">
        <f t="array" ref="J378">INDEX('Data Mahasiswa'!B378:I378,MATCH(MIN(VLOOKUP('Data Mahasiswa'!B378:I378,'Data Mahasiswa'!$N$27:$O$36,2,0)),VLOOKUP('Data Mahasiswa'!B378:I378,'Data Mahasiswa'!$N$27:$O$36,2,0),0))</f>
        <v>E</v>
      </c>
      <c r="K378" s="5" t="str">
        <f t="shared" si="17"/>
        <v>Tidak Eligible</v>
      </c>
    </row>
    <row r="379" spans="1:11" x14ac:dyDescent="0.3">
      <c r="A379" s="8">
        <v>378</v>
      </c>
      <c r="B379" s="8" t="s">
        <v>429</v>
      </c>
      <c r="C379" s="8" t="s">
        <v>1136</v>
      </c>
      <c r="D379" s="8" t="s">
        <v>780</v>
      </c>
      <c r="E379" s="9">
        <f t="shared" si="15"/>
        <v>2025</v>
      </c>
      <c r="F379" s="8" t="str">
        <f>INDEX('Data Mahasiswa'!$N$1:$Q$14, MATCH(MID('Data Status Pendaftar'!B379, 5,2), 'Data Mahasiswa'!$N$1:$N$14,0),2)</f>
        <v>Ekonomi</v>
      </c>
      <c r="G379" s="8" t="str" cm="1">
        <f t="array" ref="G379">INDEX('Data Mahasiswa'!$Q$2:$Q$14, MATCH(MID('Data Status Pendaftar'!B379,5,3), 'Data Mahasiswa'!$N$2:$N$14&amp;TEXT('Data Mahasiswa'!$P$2:$P$14,"0"), 0))</f>
        <v>Ekonomi Pembangunan</v>
      </c>
      <c r="H379" s="9">
        <f t="shared" ca="1" si="16"/>
        <v>2</v>
      </c>
      <c r="I379" s="10">
        <f>INDEX('Data Mahasiswa'!$A$1:$J$701, MATCH('Data Status Pendaftar'!B379, 'Data Mahasiswa'!$A$1:$A$701, 0), 10)</f>
        <v>2.5729166666666665</v>
      </c>
      <c r="J379" s="8" t="str" cm="1">
        <f t="array" ref="J379">INDEX('Data Mahasiswa'!B379:I379,MATCH(MIN(VLOOKUP('Data Mahasiswa'!B379:I379,'Data Mahasiswa'!$N$27:$O$36,2,0)),VLOOKUP('Data Mahasiswa'!B379:I379,'Data Mahasiswa'!$N$27:$O$36,2,0),0))</f>
        <v>E</v>
      </c>
      <c r="K379" s="8" t="str">
        <f t="shared" si="17"/>
        <v>Tidak Eligible</v>
      </c>
    </row>
    <row r="380" spans="1:11" x14ac:dyDescent="0.3">
      <c r="A380" s="5">
        <v>379</v>
      </c>
      <c r="B380" s="5" t="s">
        <v>430</v>
      </c>
      <c r="C380" s="5" t="s">
        <v>1137</v>
      </c>
      <c r="D380" s="5" t="s">
        <v>779</v>
      </c>
      <c r="E380" s="6">
        <f t="shared" si="15"/>
        <v>2025</v>
      </c>
      <c r="F380" s="5" t="str">
        <f>INDEX('Data Mahasiswa'!$N$1:$Q$14, MATCH(MID('Data Status Pendaftar'!B380, 5,2), 'Data Mahasiswa'!$N$1:$N$14,0),2)</f>
        <v>Ekonomi</v>
      </c>
      <c r="G380" s="5" t="str" cm="1">
        <f t="array" ref="G380">INDEX('Data Mahasiswa'!$Q$2:$Q$14, MATCH(MID('Data Status Pendaftar'!B380,5,3), 'Data Mahasiswa'!$N$2:$N$14&amp;TEXT('Data Mahasiswa'!$P$2:$P$14,"0"), 0))</f>
        <v>Ekonomi Pembangunan</v>
      </c>
      <c r="H380" s="6">
        <f t="shared" ca="1" si="16"/>
        <v>2</v>
      </c>
      <c r="I380" s="7">
        <f>INDEX('Data Mahasiswa'!$A$1:$J$701, MATCH('Data Status Pendaftar'!B380, 'Data Mahasiswa'!$A$1:$A$701, 0), 10)</f>
        <v>3.0625</v>
      </c>
      <c r="J380" s="5" t="str" cm="1">
        <f t="array" ref="J380">INDEX('Data Mahasiswa'!B380:I380,MATCH(MIN(VLOOKUP('Data Mahasiswa'!B380:I380,'Data Mahasiswa'!$N$27:$O$36,2,0)),VLOOKUP('Data Mahasiswa'!B380:I380,'Data Mahasiswa'!$N$27:$O$36,2,0),0))</f>
        <v>B-</v>
      </c>
      <c r="K380" s="5" t="str">
        <f t="shared" si="17"/>
        <v>Eligible</v>
      </c>
    </row>
    <row r="381" spans="1:11" x14ac:dyDescent="0.3">
      <c r="A381" s="8">
        <v>380</v>
      </c>
      <c r="B381" s="8" t="s">
        <v>431</v>
      </c>
      <c r="C381" s="8" t="s">
        <v>1138</v>
      </c>
      <c r="D381" s="8" t="s">
        <v>780</v>
      </c>
      <c r="E381" s="9">
        <f t="shared" si="15"/>
        <v>2025</v>
      </c>
      <c r="F381" s="8" t="str">
        <f>INDEX('Data Mahasiswa'!$N$1:$Q$14, MATCH(MID('Data Status Pendaftar'!B381, 5,2), 'Data Mahasiswa'!$N$1:$N$14,0),2)</f>
        <v>Ekonomi</v>
      </c>
      <c r="G381" s="8" t="str" cm="1">
        <f t="array" ref="G381">INDEX('Data Mahasiswa'!$Q$2:$Q$14, MATCH(MID('Data Status Pendaftar'!B381,5,3), 'Data Mahasiswa'!$N$2:$N$14&amp;TEXT('Data Mahasiswa'!$P$2:$P$14,"0"), 0))</f>
        <v>Ekonomi Pembangunan</v>
      </c>
      <c r="H381" s="9">
        <f t="shared" ca="1" si="16"/>
        <v>2</v>
      </c>
      <c r="I381" s="10">
        <f>INDEX('Data Mahasiswa'!$A$1:$J$701, MATCH('Data Status Pendaftar'!B381, 'Data Mahasiswa'!$A$1:$A$701, 0), 10)</f>
        <v>3.0416666666666665</v>
      </c>
      <c r="J381" s="8" t="str" cm="1">
        <f t="array" ref="J381">INDEX('Data Mahasiswa'!B381:I381,MATCH(MIN(VLOOKUP('Data Mahasiswa'!B381:I381,'Data Mahasiswa'!$N$27:$O$36,2,0)),VLOOKUP('Data Mahasiswa'!B381:I381,'Data Mahasiswa'!$N$27:$O$36,2,0),0))</f>
        <v>C</v>
      </c>
      <c r="K381" s="8" t="str">
        <f t="shared" si="17"/>
        <v>Eligible</v>
      </c>
    </row>
    <row r="382" spans="1:11" x14ac:dyDescent="0.3">
      <c r="A382" s="5">
        <v>381</v>
      </c>
      <c r="B382" s="5" t="s">
        <v>432</v>
      </c>
      <c r="C382" s="5" t="s">
        <v>1139</v>
      </c>
      <c r="D382" s="5" t="s">
        <v>780</v>
      </c>
      <c r="E382" s="6">
        <f t="shared" si="15"/>
        <v>2025</v>
      </c>
      <c r="F382" s="5" t="str">
        <f>INDEX('Data Mahasiswa'!$N$1:$Q$14, MATCH(MID('Data Status Pendaftar'!B382, 5,2), 'Data Mahasiswa'!$N$1:$N$14,0),2)</f>
        <v>Ekonomi</v>
      </c>
      <c r="G382" s="5" t="str" cm="1">
        <f t="array" ref="G382">INDEX('Data Mahasiswa'!$Q$2:$Q$14, MATCH(MID('Data Status Pendaftar'!B382,5,3), 'Data Mahasiswa'!$N$2:$N$14&amp;TEXT('Data Mahasiswa'!$P$2:$P$14,"0"), 0))</f>
        <v>Ekonomi Pembangunan</v>
      </c>
      <c r="H382" s="6">
        <f t="shared" ca="1" si="16"/>
        <v>2</v>
      </c>
      <c r="I382" s="7">
        <f>INDEX('Data Mahasiswa'!$A$1:$J$701, MATCH('Data Status Pendaftar'!B382, 'Data Mahasiswa'!$A$1:$A$701, 0), 10)</f>
        <v>3.2708333333333335</v>
      </c>
      <c r="J382" s="5" t="str" cm="1">
        <f t="array" ref="J382">INDEX('Data Mahasiswa'!B382:I382,MATCH(MIN(VLOOKUP('Data Mahasiswa'!B382:I382,'Data Mahasiswa'!$N$27:$O$36,2,0)),VLOOKUP('Data Mahasiswa'!B382:I382,'Data Mahasiswa'!$N$27:$O$36,2,0),0))</f>
        <v>C</v>
      </c>
      <c r="K382" s="5" t="str">
        <f t="shared" si="17"/>
        <v>Eligible</v>
      </c>
    </row>
    <row r="383" spans="1:11" x14ac:dyDescent="0.3">
      <c r="A383" s="8">
        <v>382</v>
      </c>
      <c r="B383" s="8" t="s">
        <v>433</v>
      </c>
      <c r="C383" s="8" t="s">
        <v>1140</v>
      </c>
      <c r="D383" s="8" t="s">
        <v>780</v>
      </c>
      <c r="E383" s="9">
        <f t="shared" si="15"/>
        <v>2025</v>
      </c>
      <c r="F383" s="8" t="str">
        <f>INDEX('Data Mahasiswa'!$N$1:$Q$14, MATCH(MID('Data Status Pendaftar'!B383, 5,2), 'Data Mahasiswa'!$N$1:$N$14,0),2)</f>
        <v>Ekonomi</v>
      </c>
      <c r="G383" s="8" t="str" cm="1">
        <f t="array" ref="G383">INDEX('Data Mahasiswa'!$Q$2:$Q$14, MATCH(MID('Data Status Pendaftar'!B383,5,3), 'Data Mahasiswa'!$N$2:$N$14&amp;TEXT('Data Mahasiswa'!$P$2:$P$14,"0"), 0))</f>
        <v>Ekonomi Pembangunan</v>
      </c>
      <c r="H383" s="9">
        <f t="shared" ca="1" si="16"/>
        <v>2</v>
      </c>
      <c r="I383" s="10">
        <f>INDEX('Data Mahasiswa'!$A$1:$J$701, MATCH('Data Status Pendaftar'!B383, 'Data Mahasiswa'!$A$1:$A$701, 0), 10)</f>
        <v>2.9270833333333335</v>
      </c>
      <c r="J383" s="8" t="str" cm="1">
        <f t="array" ref="J383">INDEX('Data Mahasiswa'!B383:I383,MATCH(MIN(VLOOKUP('Data Mahasiswa'!B383:I383,'Data Mahasiswa'!$N$27:$O$36,2,0)),VLOOKUP('Data Mahasiswa'!B383:I383,'Data Mahasiswa'!$N$27:$O$36,2,0),0))</f>
        <v>C</v>
      </c>
      <c r="K383" s="8" t="str">
        <f t="shared" si="17"/>
        <v>Eligible</v>
      </c>
    </row>
    <row r="384" spans="1:11" x14ac:dyDescent="0.3">
      <c r="A384" s="5">
        <v>383</v>
      </c>
      <c r="B384" s="5" t="s">
        <v>434</v>
      </c>
      <c r="C384" s="5" t="s">
        <v>1141</v>
      </c>
      <c r="D384" s="5" t="s">
        <v>779</v>
      </c>
      <c r="E384" s="6">
        <f t="shared" si="15"/>
        <v>2025</v>
      </c>
      <c r="F384" s="5" t="str">
        <f>INDEX('Data Mahasiswa'!$N$1:$Q$14, MATCH(MID('Data Status Pendaftar'!B384, 5,2), 'Data Mahasiswa'!$N$1:$N$14,0),2)</f>
        <v>Ekonomi</v>
      </c>
      <c r="G384" s="5" t="str" cm="1">
        <f t="array" ref="G384">INDEX('Data Mahasiswa'!$Q$2:$Q$14, MATCH(MID('Data Status Pendaftar'!B384,5,3), 'Data Mahasiswa'!$N$2:$N$14&amp;TEXT('Data Mahasiswa'!$P$2:$P$14,"0"), 0))</f>
        <v>Ekonomi Pembangunan</v>
      </c>
      <c r="H384" s="6">
        <f t="shared" ca="1" si="16"/>
        <v>2</v>
      </c>
      <c r="I384" s="7">
        <f>INDEX('Data Mahasiswa'!$A$1:$J$701, MATCH('Data Status Pendaftar'!B384, 'Data Mahasiswa'!$A$1:$A$701, 0), 10)</f>
        <v>3.4166666666666665</v>
      </c>
      <c r="J384" s="5" t="str" cm="1">
        <f t="array" ref="J384">INDEX('Data Mahasiswa'!B384:I384,MATCH(MIN(VLOOKUP('Data Mahasiswa'!B384:I384,'Data Mahasiswa'!$N$27:$O$36,2,0)),VLOOKUP('Data Mahasiswa'!B384:I384,'Data Mahasiswa'!$N$27:$O$36,2,0),0))</f>
        <v>C+</v>
      </c>
      <c r="K384" s="5" t="str">
        <f t="shared" si="17"/>
        <v>Eligible</v>
      </c>
    </row>
    <row r="385" spans="1:11" x14ac:dyDescent="0.3">
      <c r="A385" s="8">
        <v>384</v>
      </c>
      <c r="B385" s="8" t="s">
        <v>435</v>
      </c>
      <c r="C385" s="8" t="s">
        <v>1142</v>
      </c>
      <c r="D385" s="8" t="s">
        <v>779</v>
      </c>
      <c r="E385" s="9">
        <f t="shared" si="15"/>
        <v>2025</v>
      </c>
      <c r="F385" s="8" t="str">
        <f>INDEX('Data Mahasiswa'!$N$1:$Q$14, MATCH(MID('Data Status Pendaftar'!B385, 5,2), 'Data Mahasiswa'!$N$1:$N$14,0),2)</f>
        <v>Ekonomi</v>
      </c>
      <c r="G385" s="8" t="str" cm="1">
        <f t="array" ref="G385">INDEX('Data Mahasiswa'!$Q$2:$Q$14, MATCH(MID('Data Status Pendaftar'!B385,5,3), 'Data Mahasiswa'!$N$2:$N$14&amp;TEXT('Data Mahasiswa'!$P$2:$P$14,"0"), 0))</f>
        <v>Ekonomi Pembangunan</v>
      </c>
      <c r="H385" s="9">
        <f t="shared" ca="1" si="16"/>
        <v>2</v>
      </c>
      <c r="I385" s="10">
        <f>INDEX('Data Mahasiswa'!$A$1:$J$701, MATCH('Data Status Pendaftar'!B385, 'Data Mahasiswa'!$A$1:$A$701, 0), 10)</f>
        <v>2.8854166666666665</v>
      </c>
      <c r="J385" s="8" t="str" cm="1">
        <f t="array" ref="J385">INDEX('Data Mahasiswa'!B385:I385,MATCH(MIN(VLOOKUP('Data Mahasiswa'!B385:I385,'Data Mahasiswa'!$N$27:$O$36,2,0)),VLOOKUP('Data Mahasiswa'!B385:I385,'Data Mahasiswa'!$N$27:$O$36,2,0),0))</f>
        <v>E</v>
      </c>
      <c r="K385" s="8" t="str">
        <f t="shared" si="17"/>
        <v>Tidak Eligible</v>
      </c>
    </row>
    <row r="386" spans="1:11" x14ac:dyDescent="0.3">
      <c r="A386" s="5">
        <v>385</v>
      </c>
      <c r="B386" s="5" t="s">
        <v>436</v>
      </c>
      <c r="C386" s="5" t="s">
        <v>1143</v>
      </c>
      <c r="D386" s="5" t="s">
        <v>780</v>
      </c>
      <c r="E386" s="6">
        <f t="shared" si="15"/>
        <v>2025</v>
      </c>
      <c r="F386" s="5" t="str">
        <f>INDEX('Data Mahasiswa'!$N$1:$Q$14, MATCH(MID('Data Status Pendaftar'!B386, 5,2), 'Data Mahasiswa'!$N$1:$N$14,0),2)</f>
        <v>Pertanian</v>
      </c>
      <c r="G386" s="5" t="str" cm="1">
        <f t="array" ref="G386">INDEX('Data Mahasiswa'!$Q$2:$Q$14, MATCH(MID('Data Status Pendaftar'!B386,5,3), 'Data Mahasiswa'!$N$2:$N$14&amp;TEXT('Data Mahasiswa'!$P$2:$P$14,"0"), 0))</f>
        <v>Agroteknologi</v>
      </c>
      <c r="H386" s="6">
        <f t="shared" ca="1" si="16"/>
        <v>2</v>
      </c>
      <c r="I386" s="7">
        <f>INDEX('Data Mahasiswa'!$A$1:$J$701, MATCH('Data Status Pendaftar'!B386, 'Data Mahasiswa'!$A$1:$A$701, 0), 10)</f>
        <v>3.1458333333333335</v>
      </c>
      <c r="J386" s="5" t="str" cm="1">
        <f t="array" ref="J386">INDEX('Data Mahasiswa'!B386:I386,MATCH(MIN(VLOOKUP('Data Mahasiswa'!B386:I386,'Data Mahasiswa'!$N$27:$O$36,2,0)),VLOOKUP('Data Mahasiswa'!B386:I386,'Data Mahasiswa'!$N$27:$O$36,2,0),0))</f>
        <v>C+</v>
      </c>
      <c r="K386" s="5" t="str">
        <f t="shared" si="17"/>
        <v>Eligible</v>
      </c>
    </row>
    <row r="387" spans="1:11" x14ac:dyDescent="0.3">
      <c r="A387" s="8">
        <v>386</v>
      </c>
      <c r="B387" s="8" t="s">
        <v>437</v>
      </c>
      <c r="C387" s="8" t="s">
        <v>1144</v>
      </c>
      <c r="D387" s="8" t="s">
        <v>779</v>
      </c>
      <c r="E387" s="9">
        <f t="shared" ref="E387:E450" si="18">LEFT(B387,2)+2000</f>
        <v>2025</v>
      </c>
      <c r="F387" s="8" t="str">
        <f>INDEX('Data Mahasiswa'!$N$1:$Q$14, MATCH(MID('Data Status Pendaftar'!B387, 5,2), 'Data Mahasiswa'!$N$1:$N$14,0),2)</f>
        <v>Pertanian</v>
      </c>
      <c r="G387" s="8" t="str" cm="1">
        <f t="array" ref="G387">INDEX('Data Mahasiswa'!$Q$2:$Q$14, MATCH(MID('Data Status Pendaftar'!B387,5,3), 'Data Mahasiswa'!$N$2:$N$14&amp;TEXT('Data Mahasiswa'!$P$2:$P$14,"0"), 0))</f>
        <v>Agroteknologi</v>
      </c>
      <c r="H387" s="9">
        <f t="shared" ref="H387:H450" ca="1" si="19">(YEAR(TODAY())-E387)*2</f>
        <v>2</v>
      </c>
      <c r="I387" s="10">
        <f>INDEX('Data Mahasiswa'!$A$1:$J$701, MATCH('Data Status Pendaftar'!B387, 'Data Mahasiswa'!$A$1:$A$701, 0), 10)</f>
        <v>3.6458333333333335</v>
      </c>
      <c r="J387" s="8" t="str" cm="1">
        <f t="array" ref="J387">INDEX('Data Mahasiswa'!B387:I387,MATCH(MIN(VLOOKUP('Data Mahasiswa'!B387:I387,'Data Mahasiswa'!$N$27:$O$36,2,0)),VLOOKUP('Data Mahasiswa'!B387:I387,'Data Mahasiswa'!$N$27:$O$36,2,0),0))</f>
        <v>B</v>
      </c>
      <c r="K387" s="8" t="str">
        <f t="shared" ref="K387:K450" si="20">IF(AND(E387=2025,I387&gt;=2.75,OR(J387="A",J387="A-",J387="B+",J387="B",J387="B-",J387="C+",J387="C",J387="C-")),"Eligible","Tidak Eligible")</f>
        <v>Eligible</v>
      </c>
    </row>
    <row r="388" spans="1:11" x14ac:dyDescent="0.3">
      <c r="A388" s="5">
        <v>387</v>
      </c>
      <c r="B388" s="5" t="s">
        <v>438</v>
      </c>
      <c r="C388" s="5" t="s">
        <v>1145</v>
      </c>
      <c r="D388" s="5" t="s">
        <v>779</v>
      </c>
      <c r="E388" s="6">
        <f t="shared" si="18"/>
        <v>2025</v>
      </c>
      <c r="F388" s="5" t="str">
        <f>INDEX('Data Mahasiswa'!$N$1:$Q$14, MATCH(MID('Data Status Pendaftar'!B388, 5,2), 'Data Mahasiswa'!$N$1:$N$14,0),2)</f>
        <v>Pertanian</v>
      </c>
      <c r="G388" s="5" t="str" cm="1">
        <f t="array" ref="G388">INDEX('Data Mahasiswa'!$Q$2:$Q$14, MATCH(MID('Data Status Pendaftar'!B388,5,3), 'Data Mahasiswa'!$N$2:$N$14&amp;TEXT('Data Mahasiswa'!$P$2:$P$14,"0"), 0))</f>
        <v>Agroteknologi</v>
      </c>
      <c r="H388" s="6">
        <f t="shared" ca="1" si="19"/>
        <v>2</v>
      </c>
      <c r="I388" s="7">
        <f>INDEX('Data Mahasiswa'!$A$1:$J$701, MATCH('Data Status Pendaftar'!B388, 'Data Mahasiswa'!$A$1:$A$701, 0), 10)</f>
        <v>3.0625</v>
      </c>
      <c r="J388" s="5" t="str" cm="1">
        <f t="array" ref="J388">INDEX('Data Mahasiswa'!B388:I388,MATCH(MIN(VLOOKUP('Data Mahasiswa'!B388:I388,'Data Mahasiswa'!$N$27:$O$36,2,0)),VLOOKUP('Data Mahasiswa'!B388:I388,'Data Mahasiswa'!$N$27:$O$36,2,0),0))</f>
        <v>C</v>
      </c>
      <c r="K388" s="5" t="str">
        <f t="shared" si="20"/>
        <v>Eligible</v>
      </c>
    </row>
    <row r="389" spans="1:11" x14ac:dyDescent="0.3">
      <c r="A389" s="8">
        <v>388</v>
      </c>
      <c r="B389" s="8" t="s">
        <v>439</v>
      </c>
      <c r="C389" s="8" t="s">
        <v>1146</v>
      </c>
      <c r="D389" s="8" t="s">
        <v>779</v>
      </c>
      <c r="E389" s="9">
        <f t="shared" si="18"/>
        <v>2025</v>
      </c>
      <c r="F389" s="8" t="str">
        <f>INDEX('Data Mahasiswa'!$N$1:$Q$14, MATCH(MID('Data Status Pendaftar'!B389, 5,2), 'Data Mahasiswa'!$N$1:$N$14,0),2)</f>
        <v>Pertanian</v>
      </c>
      <c r="G389" s="8" t="str" cm="1">
        <f t="array" ref="G389">INDEX('Data Mahasiswa'!$Q$2:$Q$14, MATCH(MID('Data Status Pendaftar'!B389,5,3), 'Data Mahasiswa'!$N$2:$N$14&amp;TEXT('Data Mahasiswa'!$P$2:$P$14,"0"), 0))</f>
        <v>Agroteknologi</v>
      </c>
      <c r="H389" s="9">
        <f t="shared" ca="1" si="19"/>
        <v>2</v>
      </c>
      <c r="I389" s="10">
        <f>INDEX('Data Mahasiswa'!$A$1:$J$701, MATCH('Data Status Pendaftar'!B389, 'Data Mahasiswa'!$A$1:$A$701, 0), 10)</f>
        <v>3.4375</v>
      </c>
      <c r="J389" s="8" t="str" cm="1">
        <f t="array" ref="J389">INDEX('Data Mahasiswa'!B389:I389,MATCH(MIN(VLOOKUP('Data Mahasiswa'!B389:I389,'Data Mahasiswa'!$N$27:$O$36,2,0)),VLOOKUP('Data Mahasiswa'!B389:I389,'Data Mahasiswa'!$N$27:$O$36,2,0),0))</f>
        <v>C+</v>
      </c>
      <c r="K389" s="8" t="str">
        <f t="shared" si="20"/>
        <v>Eligible</v>
      </c>
    </row>
    <row r="390" spans="1:11" x14ac:dyDescent="0.3">
      <c r="A390" s="5">
        <v>389</v>
      </c>
      <c r="B390" s="5" t="s">
        <v>440</v>
      </c>
      <c r="C390" s="5" t="s">
        <v>1147</v>
      </c>
      <c r="D390" s="5" t="s">
        <v>780</v>
      </c>
      <c r="E390" s="6">
        <f t="shared" si="18"/>
        <v>2025</v>
      </c>
      <c r="F390" s="5" t="str">
        <f>INDEX('Data Mahasiswa'!$N$1:$Q$14, MATCH(MID('Data Status Pendaftar'!B390, 5,2), 'Data Mahasiswa'!$N$1:$N$14,0),2)</f>
        <v>Pertanian</v>
      </c>
      <c r="G390" s="5" t="str" cm="1">
        <f t="array" ref="G390">INDEX('Data Mahasiswa'!$Q$2:$Q$14, MATCH(MID('Data Status Pendaftar'!B390,5,3), 'Data Mahasiswa'!$N$2:$N$14&amp;TEXT('Data Mahasiswa'!$P$2:$P$14,"0"), 0))</f>
        <v>Agroteknologi</v>
      </c>
      <c r="H390" s="6">
        <f t="shared" ca="1" si="19"/>
        <v>2</v>
      </c>
      <c r="I390" s="7">
        <f>INDEX('Data Mahasiswa'!$A$1:$J$701, MATCH('Data Status Pendaftar'!B390, 'Data Mahasiswa'!$A$1:$A$701, 0), 10)</f>
        <v>3.15625</v>
      </c>
      <c r="J390" s="5" t="str" cm="1">
        <f t="array" ref="J390">INDEX('Data Mahasiswa'!B390:I390,MATCH(MIN(VLOOKUP('Data Mahasiswa'!B390:I390,'Data Mahasiswa'!$N$27:$O$36,2,0)),VLOOKUP('Data Mahasiswa'!B390:I390,'Data Mahasiswa'!$N$27:$O$36,2,0),0))</f>
        <v>C+</v>
      </c>
      <c r="K390" s="5" t="str">
        <f t="shared" si="20"/>
        <v>Eligible</v>
      </c>
    </row>
    <row r="391" spans="1:11" x14ac:dyDescent="0.3">
      <c r="A391" s="8">
        <v>390</v>
      </c>
      <c r="B391" s="8" t="s">
        <v>441</v>
      </c>
      <c r="C391" s="8" t="s">
        <v>1148</v>
      </c>
      <c r="D391" s="8" t="s">
        <v>780</v>
      </c>
      <c r="E391" s="9">
        <f t="shared" si="18"/>
        <v>2025</v>
      </c>
      <c r="F391" s="8" t="str">
        <f>INDEX('Data Mahasiswa'!$N$1:$Q$14, MATCH(MID('Data Status Pendaftar'!B391, 5,2), 'Data Mahasiswa'!$N$1:$N$14,0),2)</f>
        <v>Pertanian</v>
      </c>
      <c r="G391" s="8" t="str" cm="1">
        <f t="array" ref="G391">INDEX('Data Mahasiswa'!$Q$2:$Q$14, MATCH(MID('Data Status Pendaftar'!B391,5,3), 'Data Mahasiswa'!$N$2:$N$14&amp;TEXT('Data Mahasiswa'!$P$2:$P$14,"0"), 0))</f>
        <v>Agroteknologi</v>
      </c>
      <c r="H391" s="9">
        <f t="shared" ca="1" si="19"/>
        <v>2</v>
      </c>
      <c r="I391" s="10">
        <f>INDEX('Data Mahasiswa'!$A$1:$J$701, MATCH('Data Status Pendaftar'!B391, 'Data Mahasiswa'!$A$1:$A$701, 0), 10)</f>
        <v>2.9270833333333335</v>
      </c>
      <c r="J391" s="8" t="str" cm="1">
        <f t="array" ref="J391">INDEX('Data Mahasiswa'!B391:I391,MATCH(MIN(VLOOKUP('Data Mahasiswa'!B391:I391,'Data Mahasiswa'!$N$27:$O$36,2,0)),VLOOKUP('Data Mahasiswa'!B391:I391,'Data Mahasiswa'!$N$27:$O$36,2,0),0))</f>
        <v>E</v>
      </c>
      <c r="K391" s="8" t="str">
        <f t="shared" si="20"/>
        <v>Tidak Eligible</v>
      </c>
    </row>
    <row r="392" spans="1:11" x14ac:dyDescent="0.3">
      <c r="A392" s="5">
        <v>391</v>
      </c>
      <c r="B392" s="5" t="s">
        <v>442</v>
      </c>
      <c r="C392" s="5" t="s">
        <v>1149</v>
      </c>
      <c r="D392" s="5" t="s">
        <v>779</v>
      </c>
      <c r="E392" s="6">
        <f t="shared" si="18"/>
        <v>2025</v>
      </c>
      <c r="F392" s="5" t="str">
        <f>INDEX('Data Mahasiswa'!$N$1:$Q$14, MATCH(MID('Data Status Pendaftar'!B392, 5,2), 'Data Mahasiswa'!$N$1:$N$14,0),2)</f>
        <v>Pertanian</v>
      </c>
      <c r="G392" s="5" t="str" cm="1">
        <f t="array" ref="G392">INDEX('Data Mahasiswa'!$Q$2:$Q$14, MATCH(MID('Data Status Pendaftar'!B392,5,3), 'Data Mahasiswa'!$N$2:$N$14&amp;TEXT('Data Mahasiswa'!$P$2:$P$14,"0"), 0))</f>
        <v>Agroteknologi</v>
      </c>
      <c r="H392" s="6">
        <f t="shared" ca="1" si="19"/>
        <v>2</v>
      </c>
      <c r="I392" s="7">
        <f>INDEX('Data Mahasiswa'!$A$1:$J$701, MATCH('Data Status Pendaftar'!B392, 'Data Mahasiswa'!$A$1:$A$701, 0), 10)</f>
        <v>3</v>
      </c>
      <c r="J392" s="5" t="str" cm="1">
        <f t="array" ref="J392">INDEX('Data Mahasiswa'!B392:I392,MATCH(MIN(VLOOKUP('Data Mahasiswa'!B392:I392,'Data Mahasiswa'!$N$27:$O$36,2,0)),VLOOKUP('Data Mahasiswa'!B392:I392,'Data Mahasiswa'!$N$27:$O$36,2,0),0))</f>
        <v>C</v>
      </c>
      <c r="K392" s="5" t="str">
        <f t="shared" si="20"/>
        <v>Eligible</v>
      </c>
    </row>
    <row r="393" spans="1:11" x14ac:dyDescent="0.3">
      <c r="A393" s="8">
        <v>392</v>
      </c>
      <c r="B393" s="8" t="s">
        <v>443</v>
      </c>
      <c r="C393" s="8" t="s">
        <v>1150</v>
      </c>
      <c r="D393" s="8" t="s">
        <v>779</v>
      </c>
      <c r="E393" s="9">
        <f t="shared" si="18"/>
        <v>2025</v>
      </c>
      <c r="F393" s="8" t="str">
        <f>INDEX('Data Mahasiswa'!$N$1:$Q$14, MATCH(MID('Data Status Pendaftar'!B393, 5,2), 'Data Mahasiswa'!$N$1:$N$14,0),2)</f>
        <v>Pertanian</v>
      </c>
      <c r="G393" s="8" t="str" cm="1">
        <f t="array" ref="G393">INDEX('Data Mahasiswa'!$Q$2:$Q$14, MATCH(MID('Data Status Pendaftar'!B393,5,3), 'Data Mahasiswa'!$N$2:$N$14&amp;TEXT('Data Mahasiswa'!$P$2:$P$14,"0"), 0))</f>
        <v>Agroteknologi</v>
      </c>
      <c r="H393" s="9">
        <f t="shared" ca="1" si="19"/>
        <v>2</v>
      </c>
      <c r="I393" s="10">
        <f>INDEX('Data Mahasiswa'!$A$1:$J$701, MATCH('Data Status Pendaftar'!B393, 'Data Mahasiswa'!$A$1:$A$701, 0), 10)</f>
        <v>3</v>
      </c>
      <c r="J393" s="8" t="str" cm="1">
        <f t="array" ref="J393">INDEX('Data Mahasiswa'!B393:I393,MATCH(MIN(VLOOKUP('Data Mahasiswa'!B393:I393,'Data Mahasiswa'!$N$27:$O$36,2,0)),VLOOKUP('Data Mahasiswa'!B393:I393,'Data Mahasiswa'!$N$27:$O$36,2,0),0))</f>
        <v>C</v>
      </c>
      <c r="K393" s="8" t="str">
        <f t="shared" si="20"/>
        <v>Eligible</v>
      </c>
    </row>
    <row r="394" spans="1:11" x14ac:dyDescent="0.3">
      <c r="A394" s="5">
        <v>393</v>
      </c>
      <c r="B394" s="5" t="s">
        <v>444</v>
      </c>
      <c r="C394" s="5" t="s">
        <v>1151</v>
      </c>
      <c r="D394" s="5" t="s">
        <v>779</v>
      </c>
      <c r="E394" s="6">
        <f t="shared" si="18"/>
        <v>2025</v>
      </c>
      <c r="F394" s="5" t="str">
        <f>INDEX('Data Mahasiswa'!$N$1:$Q$14, MATCH(MID('Data Status Pendaftar'!B394, 5,2), 'Data Mahasiswa'!$N$1:$N$14,0),2)</f>
        <v>Pertanian</v>
      </c>
      <c r="G394" s="5" t="str" cm="1">
        <f t="array" ref="G394">INDEX('Data Mahasiswa'!$Q$2:$Q$14, MATCH(MID('Data Status Pendaftar'!B394,5,3), 'Data Mahasiswa'!$N$2:$N$14&amp;TEXT('Data Mahasiswa'!$P$2:$P$14,"0"), 0))</f>
        <v>Agroteknologi</v>
      </c>
      <c r="H394" s="6">
        <f t="shared" ca="1" si="19"/>
        <v>2</v>
      </c>
      <c r="I394" s="7">
        <f>INDEX('Data Mahasiswa'!$A$1:$J$701, MATCH('Data Status Pendaftar'!B394, 'Data Mahasiswa'!$A$1:$A$701, 0), 10)</f>
        <v>2.9583333333333335</v>
      </c>
      <c r="J394" s="5" t="str" cm="1">
        <f t="array" ref="J394">INDEX('Data Mahasiswa'!B394:I394,MATCH(MIN(VLOOKUP('Data Mahasiswa'!B394:I394,'Data Mahasiswa'!$N$27:$O$36,2,0)),VLOOKUP('Data Mahasiswa'!B394:I394,'Data Mahasiswa'!$N$27:$O$36,2,0),0))</f>
        <v>C+</v>
      </c>
      <c r="K394" s="5" t="str">
        <f t="shared" si="20"/>
        <v>Eligible</v>
      </c>
    </row>
    <row r="395" spans="1:11" x14ac:dyDescent="0.3">
      <c r="A395" s="8">
        <v>394</v>
      </c>
      <c r="B395" s="8" t="s">
        <v>445</v>
      </c>
      <c r="C395" s="8" t="s">
        <v>1086</v>
      </c>
      <c r="D395" s="8" t="s">
        <v>780</v>
      </c>
      <c r="E395" s="9">
        <f t="shared" si="18"/>
        <v>2025</v>
      </c>
      <c r="F395" s="8" t="str">
        <f>INDEX('Data Mahasiswa'!$N$1:$Q$14, MATCH(MID('Data Status Pendaftar'!B395, 5,2), 'Data Mahasiswa'!$N$1:$N$14,0),2)</f>
        <v>Pertanian</v>
      </c>
      <c r="G395" s="8" t="str" cm="1">
        <f t="array" ref="G395">INDEX('Data Mahasiswa'!$Q$2:$Q$14, MATCH(MID('Data Status Pendaftar'!B395,5,3), 'Data Mahasiswa'!$N$2:$N$14&amp;TEXT('Data Mahasiswa'!$P$2:$P$14,"0"), 0))</f>
        <v>Agroteknologi</v>
      </c>
      <c r="H395" s="9">
        <f t="shared" ca="1" si="19"/>
        <v>2</v>
      </c>
      <c r="I395" s="10">
        <f>INDEX('Data Mahasiswa'!$A$1:$J$701, MATCH('Data Status Pendaftar'!B395, 'Data Mahasiswa'!$A$1:$A$701, 0), 10)</f>
        <v>3.34375</v>
      </c>
      <c r="J395" s="8" t="str" cm="1">
        <f t="array" ref="J395">INDEX('Data Mahasiswa'!B395:I395,MATCH(MIN(VLOOKUP('Data Mahasiswa'!B395:I395,'Data Mahasiswa'!$N$27:$O$36,2,0)),VLOOKUP('Data Mahasiswa'!B395:I395,'Data Mahasiswa'!$N$27:$O$36,2,0),0))</f>
        <v>C+</v>
      </c>
      <c r="K395" s="8" t="str">
        <f t="shared" si="20"/>
        <v>Eligible</v>
      </c>
    </row>
    <row r="396" spans="1:11" x14ac:dyDescent="0.3">
      <c r="A396" s="5">
        <v>395</v>
      </c>
      <c r="B396" s="5" t="s">
        <v>446</v>
      </c>
      <c r="C396" s="5" t="s">
        <v>1152</v>
      </c>
      <c r="D396" s="5" t="s">
        <v>780</v>
      </c>
      <c r="E396" s="6">
        <f t="shared" si="18"/>
        <v>2025</v>
      </c>
      <c r="F396" s="5" t="str">
        <f>INDEX('Data Mahasiswa'!$N$1:$Q$14, MATCH(MID('Data Status Pendaftar'!B396, 5,2), 'Data Mahasiswa'!$N$1:$N$14,0),2)</f>
        <v>Pertanian</v>
      </c>
      <c r="G396" s="5" t="str" cm="1">
        <f t="array" ref="G396">INDEX('Data Mahasiswa'!$Q$2:$Q$14, MATCH(MID('Data Status Pendaftar'!B396,5,3), 'Data Mahasiswa'!$N$2:$N$14&amp;TEXT('Data Mahasiswa'!$P$2:$P$14,"0"), 0))</f>
        <v>Agroteknologi</v>
      </c>
      <c r="H396" s="6">
        <f t="shared" ca="1" si="19"/>
        <v>2</v>
      </c>
      <c r="I396" s="7">
        <f>INDEX('Data Mahasiswa'!$A$1:$J$701, MATCH('Data Status Pendaftar'!B396, 'Data Mahasiswa'!$A$1:$A$701, 0), 10)</f>
        <v>3.03125</v>
      </c>
      <c r="J396" s="5" t="str" cm="1">
        <f t="array" ref="J396">INDEX('Data Mahasiswa'!B396:I396,MATCH(MIN(VLOOKUP('Data Mahasiswa'!B396:I396,'Data Mahasiswa'!$N$27:$O$36,2,0)),VLOOKUP('Data Mahasiswa'!B396:I396,'Data Mahasiswa'!$N$27:$O$36,2,0),0))</f>
        <v>C+</v>
      </c>
      <c r="K396" s="5" t="str">
        <f t="shared" si="20"/>
        <v>Eligible</v>
      </c>
    </row>
    <row r="397" spans="1:11" x14ac:dyDescent="0.3">
      <c r="A397" s="8">
        <v>396</v>
      </c>
      <c r="B397" s="8" t="s">
        <v>447</v>
      </c>
      <c r="C397" s="8" t="s">
        <v>1153</v>
      </c>
      <c r="D397" s="8" t="s">
        <v>780</v>
      </c>
      <c r="E397" s="9">
        <f t="shared" si="18"/>
        <v>2025</v>
      </c>
      <c r="F397" s="8" t="str">
        <f>INDEX('Data Mahasiswa'!$N$1:$Q$14, MATCH(MID('Data Status Pendaftar'!B397, 5,2), 'Data Mahasiswa'!$N$1:$N$14,0),2)</f>
        <v>Pertanian</v>
      </c>
      <c r="G397" s="8" t="str" cm="1">
        <f t="array" ref="G397">INDEX('Data Mahasiswa'!$Q$2:$Q$14, MATCH(MID('Data Status Pendaftar'!B397,5,3), 'Data Mahasiswa'!$N$2:$N$14&amp;TEXT('Data Mahasiswa'!$P$2:$P$14,"0"), 0))</f>
        <v>Agroteknologi</v>
      </c>
      <c r="H397" s="9">
        <f t="shared" ca="1" si="19"/>
        <v>2</v>
      </c>
      <c r="I397" s="10">
        <f>INDEX('Data Mahasiswa'!$A$1:$J$701, MATCH('Data Status Pendaftar'!B397, 'Data Mahasiswa'!$A$1:$A$701, 0), 10)</f>
        <v>2.8333333333333335</v>
      </c>
      <c r="J397" s="8" t="str" cm="1">
        <f t="array" ref="J397">INDEX('Data Mahasiswa'!B397:I397,MATCH(MIN(VLOOKUP('Data Mahasiswa'!B397:I397,'Data Mahasiswa'!$N$27:$O$36,2,0)),VLOOKUP('Data Mahasiswa'!B397:I397,'Data Mahasiswa'!$N$27:$O$36,2,0),0))</f>
        <v>E</v>
      </c>
      <c r="K397" s="8" t="str">
        <f t="shared" si="20"/>
        <v>Tidak Eligible</v>
      </c>
    </row>
    <row r="398" spans="1:11" x14ac:dyDescent="0.3">
      <c r="A398" s="5">
        <v>397</v>
      </c>
      <c r="B398" s="5" t="s">
        <v>448</v>
      </c>
      <c r="C398" s="5" t="s">
        <v>1154</v>
      </c>
      <c r="D398" s="5" t="s">
        <v>780</v>
      </c>
      <c r="E398" s="6">
        <f t="shared" si="18"/>
        <v>2025</v>
      </c>
      <c r="F398" s="5" t="str">
        <f>INDEX('Data Mahasiswa'!$N$1:$Q$14, MATCH(MID('Data Status Pendaftar'!B398, 5,2), 'Data Mahasiswa'!$N$1:$N$14,0),2)</f>
        <v>Pertanian</v>
      </c>
      <c r="G398" s="5" t="str" cm="1">
        <f t="array" ref="G398">INDEX('Data Mahasiswa'!$Q$2:$Q$14, MATCH(MID('Data Status Pendaftar'!B398,5,3), 'Data Mahasiswa'!$N$2:$N$14&amp;TEXT('Data Mahasiswa'!$P$2:$P$14,"0"), 0))</f>
        <v>Agroteknologi</v>
      </c>
      <c r="H398" s="6">
        <f t="shared" ca="1" si="19"/>
        <v>2</v>
      </c>
      <c r="I398" s="7">
        <f>INDEX('Data Mahasiswa'!$A$1:$J$701, MATCH('Data Status Pendaftar'!B398, 'Data Mahasiswa'!$A$1:$A$701, 0), 10)</f>
        <v>2.8020833333333335</v>
      </c>
      <c r="J398" s="5" t="str" cm="1">
        <f t="array" ref="J398">INDEX('Data Mahasiswa'!B398:I398,MATCH(MIN(VLOOKUP('Data Mahasiswa'!B398:I398,'Data Mahasiswa'!$N$27:$O$36,2,0)),VLOOKUP('Data Mahasiswa'!B398:I398,'Data Mahasiswa'!$N$27:$O$36,2,0),0))</f>
        <v>E</v>
      </c>
      <c r="K398" s="5" t="str">
        <f t="shared" si="20"/>
        <v>Tidak Eligible</v>
      </c>
    </row>
    <row r="399" spans="1:11" x14ac:dyDescent="0.3">
      <c r="A399" s="8">
        <v>398</v>
      </c>
      <c r="B399" s="8" t="s">
        <v>449</v>
      </c>
      <c r="C399" s="8" t="s">
        <v>1155</v>
      </c>
      <c r="D399" s="8" t="s">
        <v>779</v>
      </c>
      <c r="E399" s="9">
        <f t="shared" si="18"/>
        <v>2025</v>
      </c>
      <c r="F399" s="8" t="str">
        <f>INDEX('Data Mahasiswa'!$N$1:$Q$14, MATCH(MID('Data Status Pendaftar'!B399, 5,2), 'Data Mahasiswa'!$N$1:$N$14,0),2)</f>
        <v>Pertanian</v>
      </c>
      <c r="G399" s="8" t="str" cm="1">
        <f t="array" ref="G399">INDEX('Data Mahasiswa'!$Q$2:$Q$14, MATCH(MID('Data Status Pendaftar'!B399,5,3), 'Data Mahasiswa'!$N$2:$N$14&amp;TEXT('Data Mahasiswa'!$P$2:$P$14,"0"), 0))</f>
        <v>Agroteknologi</v>
      </c>
      <c r="H399" s="9">
        <f t="shared" ca="1" si="19"/>
        <v>2</v>
      </c>
      <c r="I399" s="10">
        <f>INDEX('Data Mahasiswa'!$A$1:$J$701, MATCH('Data Status Pendaftar'!B399, 'Data Mahasiswa'!$A$1:$A$701, 0), 10)</f>
        <v>3.1041666666666665</v>
      </c>
      <c r="J399" s="8" t="str" cm="1">
        <f t="array" ref="J399">INDEX('Data Mahasiswa'!B399:I399,MATCH(MIN(VLOOKUP('Data Mahasiswa'!B399:I399,'Data Mahasiswa'!$N$27:$O$36,2,0)),VLOOKUP('Data Mahasiswa'!B399:I399,'Data Mahasiswa'!$N$27:$O$36,2,0),0))</f>
        <v>C</v>
      </c>
      <c r="K399" s="8" t="str">
        <f t="shared" si="20"/>
        <v>Eligible</v>
      </c>
    </row>
    <row r="400" spans="1:11" x14ac:dyDescent="0.3">
      <c r="A400" s="5">
        <v>399</v>
      </c>
      <c r="B400" s="5" t="s">
        <v>450</v>
      </c>
      <c r="C400" s="5" t="s">
        <v>1156</v>
      </c>
      <c r="D400" s="5" t="s">
        <v>779</v>
      </c>
      <c r="E400" s="6">
        <f t="shared" si="18"/>
        <v>2025</v>
      </c>
      <c r="F400" s="5" t="str">
        <f>INDEX('Data Mahasiswa'!$N$1:$Q$14, MATCH(MID('Data Status Pendaftar'!B400, 5,2), 'Data Mahasiswa'!$N$1:$N$14,0),2)</f>
        <v>Pertanian</v>
      </c>
      <c r="G400" s="5" t="str" cm="1">
        <f t="array" ref="G400">INDEX('Data Mahasiswa'!$Q$2:$Q$14, MATCH(MID('Data Status Pendaftar'!B400,5,3), 'Data Mahasiswa'!$N$2:$N$14&amp;TEXT('Data Mahasiswa'!$P$2:$P$14,"0"), 0))</f>
        <v>Agroteknologi</v>
      </c>
      <c r="H400" s="6">
        <f t="shared" ca="1" si="19"/>
        <v>2</v>
      </c>
      <c r="I400" s="7">
        <f>INDEX('Data Mahasiswa'!$A$1:$J$701, MATCH('Data Status Pendaftar'!B400, 'Data Mahasiswa'!$A$1:$A$701, 0), 10)</f>
        <v>3.4375</v>
      </c>
      <c r="J400" s="5" t="str" cm="1">
        <f t="array" ref="J400">INDEX('Data Mahasiswa'!B400:I400,MATCH(MIN(VLOOKUP('Data Mahasiswa'!B400:I400,'Data Mahasiswa'!$N$27:$O$36,2,0)),VLOOKUP('Data Mahasiswa'!B400:I400,'Data Mahasiswa'!$N$27:$O$36,2,0),0))</f>
        <v>B</v>
      </c>
      <c r="K400" s="5" t="str">
        <f t="shared" si="20"/>
        <v>Eligible</v>
      </c>
    </row>
    <row r="401" spans="1:11" x14ac:dyDescent="0.3">
      <c r="A401" s="8">
        <v>400</v>
      </c>
      <c r="B401" s="8" t="s">
        <v>451</v>
      </c>
      <c r="C401" s="8" t="s">
        <v>1157</v>
      </c>
      <c r="D401" s="8" t="s">
        <v>780</v>
      </c>
      <c r="E401" s="9">
        <f t="shared" si="18"/>
        <v>2025</v>
      </c>
      <c r="F401" s="8" t="str">
        <f>INDEX('Data Mahasiswa'!$N$1:$Q$14, MATCH(MID('Data Status Pendaftar'!B401, 5,2), 'Data Mahasiswa'!$N$1:$N$14,0),2)</f>
        <v>Pertanian</v>
      </c>
      <c r="G401" s="8" t="str" cm="1">
        <f t="array" ref="G401">INDEX('Data Mahasiswa'!$Q$2:$Q$14, MATCH(MID('Data Status Pendaftar'!B401,5,3), 'Data Mahasiswa'!$N$2:$N$14&amp;TEXT('Data Mahasiswa'!$P$2:$P$14,"0"), 0))</f>
        <v>Agribisnis</v>
      </c>
      <c r="H401" s="9">
        <f t="shared" ca="1" si="19"/>
        <v>2</v>
      </c>
      <c r="I401" s="10">
        <f>INDEX('Data Mahasiswa'!$A$1:$J$701, MATCH('Data Status Pendaftar'!B401, 'Data Mahasiswa'!$A$1:$A$701, 0), 10)</f>
        <v>3.1666666666666665</v>
      </c>
      <c r="J401" s="8" t="str" cm="1">
        <f t="array" ref="J401">INDEX('Data Mahasiswa'!B401:I401,MATCH(MIN(VLOOKUP('Data Mahasiswa'!B401:I401,'Data Mahasiswa'!$N$27:$O$36,2,0)),VLOOKUP('Data Mahasiswa'!B401:I401,'Data Mahasiswa'!$N$27:$O$36,2,0),0))</f>
        <v>C</v>
      </c>
      <c r="K401" s="8" t="str">
        <f t="shared" si="20"/>
        <v>Eligible</v>
      </c>
    </row>
    <row r="402" spans="1:11" x14ac:dyDescent="0.3">
      <c r="A402" s="5">
        <v>401</v>
      </c>
      <c r="B402" s="5" t="s">
        <v>452</v>
      </c>
      <c r="C402" s="5" t="s">
        <v>1158</v>
      </c>
      <c r="D402" s="5" t="s">
        <v>780</v>
      </c>
      <c r="E402" s="6">
        <f t="shared" si="18"/>
        <v>2025</v>
      </c>
      <c r="F402" s="5" t="str">
        <f>INDEX('Data Mahasiswa'!$N$1:$Q$14, MATCH(MID('Data Status Pendaftar'!B402, 5,2), 'Data Mahasiswa'!$N$1:$N$14,0),2)</f>
        <v>Pertanian</v>
      </c>
      <c r="G402" s="5" t="str" cm="1">
        <f t="array" ref="G402">INDEX('Data Mahasiswa'!$Q$2:$Q$14, MATCH(MID('Data Status Pendaftar'!B402,5,3), 'Data Mahasiswa'!$N$2:$N$14&amp;TEXT('Data Mahasiswa'!$P$2:$P$14,"0"), 0))</f>
        <v>Agribisnis</v>
      </c>
      <c r="H402" s="6">
        <f t="shared" ca="1" si="19"/>
        <v>2</v>
      </c>
      <c r="I402" s="7">
        <f>INDEX('Data Mahasiswa'!$A$1:$J$701, MATCH('Data Status Pendaftar'!B402, 'Data Mahasiswa'!$A$1:$A$701, 0), 10)</f>
        <v>3.0625</v>
      </c>
      <c r="J402" s="5" t="str" cm="1">
        <f t="array" ref="J402">INDEX('Data Mahasiswa'!B402:I402,MATCH(MIN(VLOOKUP('Data Mahasiswa'!B402:I402,'Data Mahasiswa'!$N$27:$O$36,2,0)),VLOOKUP('Data Mahasiswa'!B402:I402,'Data Mahasiswa'!$N$27:$O$36,2,0),0))</f>
        <v>C+</v>
      </c>
      <c r="K402" s="5" t="str">
        <f t="shared" si="20"/>
        <v>Eligible</v>
      </c>
    </row>
    <row r="403" spans="1:11" x14ac:dyDescent="0.3">
      <c r="A403" s="8">
        <v>402</v>
      </c>
      <c r="B403" s="8" t="s">
        <v>453</v>
      </c>
      <c r="C403" s="8" t="s">
        <v>1159</v>
      </c>
      <c r="D403" s="8" t="s">
        <v>780</v>
      </c>
      <c r="E403" s="9">
        <f t="shared" si="18"/>
        <v>2025</v>
      </c>
      <c r="F403" s="8" t="str">
        <f>INDEX('Data Mahasiswa'!$N$1:$Q$14, MATCH(MID('Data Status Pendaftar'!B403, 5,2), 'Data Mahasiswa'!$N$1:$N$14,0),2)</f>
        <v>Pertanian</v>
      </c>
      <c r="G403" s="8" t="str" cm="1">
        <f t="array" ref="G403">INDEX('Data Mahasiswa'!$Q$2:$Q$14, MATCH(MID('Data Status Pendaftar'!B403,5,3), 'Data Mahasiswa'!$N$2:$N$14&amp;TEXT('Data Mahasiswa'!$P$2:$P$14,"0"), 0))</f>
        <v>Agribisnis</v>
      </c>
      <c r="H403" s="9">
        <f t="shared" ca="1" si="19"/>
        <v>2</v>
      </c>
      <c r="I403" s="10">
        <f>INDEX('Data Mahasiswa'!$A$1:$J$701, MATCH('Data Status Pendaftar'!B403, 'Data Mahasiswa'!$A$1:$A$701, 0), 10)</f>
        <v>2.84375</v>
      </c>
      <c r="J403" s="8" t="str" cm="1">
        <f t="array" ref="J403">INDEX('Data Mahasiswa'!B403:I403,MATCH(MIN(VLOOKUP('Data Mahasiswa'!B403:I403,'Data Mahasiswa'!$N$27:$O$36,2,0)),VLOOKUP('Data Mahasiswa'!B403:I403,'Data Mahasiswa'!$N$27:$O$36,2,0),0))</f>
        <v>D</v>
      </c>
      <c r="K403" s="8" t="str">
        <f t="shared" si="20"/>
        <v>Tidak Eligible</v>
      </c>
    </row>
    <row r="404" spans="1:11" x14ac:dyDescent="0.3">
      <c r="A404" s="5">
        <v>403</v>
      </c>
      <c r="B404" s="5" t="s">
        <v>454</v>
      </c>
      <c r="C404" s="5" t="s">
        <v>1160</v>
      </c>
      <c r="D404" s="5" t="s">
        <v>780</v>
      </c>
      <c r="E404" s="6">
        <f t="shared" si="18"/>
        <v>2025</v>
      </c>
      <c r="F404" s="5" t="str">
        <f>INDEX('Data Mahasiswa'!$N$1:$Q$14, MATCH(MID('Data Status Pendaftar'!B404, 5,2), 'Data Mahasiswa'!$N$1:$N$14,0),2)</f>
        <v>Pertanian</v>
      </c>
      <c r="G404" s="5" t="str" cm="1">
        <f t="array" ref="G404">INDEX('Data Mahasiswa'!$Q$2:$Q$14, MATCH(MID('Data Status Pendaftar'!B404,5,3), 'Data Mahasiswa'!$N$2:$N$14&amp;TEXT('Data Mahasiswa'!$P$2:$P$14,"0"), 0))</f>
        <v>Agribisnis</v>
      </c>
      <c r="H404" s="6">
        <f t="shared" ca="1" si="19"/>
        <v>2</v>
      </c>
      <c r="I404" s="7">
        <f>INDEX('Data Mahasiswa'!$A$1:$J$701, MATCH('Data Status Pendaftar'!B404, 'Data Mahasiswa'!$A$1:$A$701, 0), 10)</f>
        <v>2.9479166666666665</v>
      </c>
      <c r="J404" s="5" t="str" cm="1">
        <f t="array" ref="J404">INDEX('Data Mahasiswa'!B404:I404,MATCH(MIN(VLOOKUP('Data Mahasiswa'!B404:I404,'Data Mahasiswa'!$N$27:$O$36,2,0)),VLOOKUP('Data Mahasiswa'!B404:I404,'Data Mahasiswa'!$N$27:$O$36,2,0),0))</f>
        <v>C</v>
      </c>
      <c r="K404" s="5" t="str">
        <f t="shared" si="20"/>
        <v>Eligible</v>
      </c>
    </row>
    <row r="405" spans="1:11" x14ac:dyDescent="0.3">
      <c r="A405" s="8">
        <v>404</v>
      </c>
      <c r="B405" s="8" t="s">
        <v>455</v>
      </c>
      <c r="C405" s="8" t="s">
        <v>1161</v>
      </c>
      <c r="D405" s="8" t="s">
        <v>780</v>
      </c>
      <c r="E405" s="9">
        <f t="shared" si="18"/>
        <v>2025</v>
      </c>
      <c r="F405" s="8" t="str">
        <f>INDEX('Data Mahasiswa'!$N$1:$Q$14, MATCH(MID('Data Status Pendaftar'!B405, 5,2), 'Data Mahasiswa'!$N$1:$N$14,0),2)</f>
        <v>Pertanian</v>
      </c>
      <c r="G405" s="8" t="str" cm="1">
        <f t="array" ref="G405">INDEX('Data Mahasiswa'!$Q$2:$Q$14, MATCH(MID('Data Status Pendaftar'!B405,5,3), 'Data Mahasiswa'!$N$2:$N$14&amp;TEXT('Data Mahasiswa'!$P$2:$P$14,"0"), 0))</f>
        <v>Agribisnis</v>
      </c>
      <c r="H405" s="9">
        <f t="shared" ca="1" si="19"/>
        <v>2</v>
      </c>
      <c r="I405" s="10">
        <f>INDEX('Data Mahasiswa'!$A$1:$J$701, MATCH('Data Status Pendaftar'!B405, 'Data Mahasiswa'!$A$1:$A$701, 0), 10)</f>
        <v>3.1145833333333335</v>
      </c>
      <c r="J405" s="8" t="str" cm="1">
        <f t="array" ref="J405">INDEX('Data Mahasiswa'!B405:I405,MATCH(MIN(VLOOKUP('Data Mahasiswa'!B405:I405,'Data Mahasiswa'!$N$27:$O$36,2,0)),VLOOKUP('Data Mahasiswa'!B405:I405,'Data Mahasiswa'!$N$27:$O$36,2,0),0))</f>
        <v>C</v>
      </c>
      <c r="K405" s="8" t="str">
        <f t="shared" si="20"/>
        <v>Eligible</v>
      </c>
    </row>
    <row r="406" spans="1:11" x14ac:dyDescent="0.3">
      <c r="A406" s="5">
        <v>405</v>
      </c>
      <c r="B406" s="5" t="s">
        <v>456</v>
      </c>
      <c r="C406" s="5" t="s">
        <v>1162</v>
      </c>
      <c r="D406" s="5" t="s">
        <v>779</v>
      </c>
      <c r="E406" s="6">
        <f t="shared" si="18"/>
        <v>2025</v>
      </c>
      <c r="F406" s="5" t="str">
        <f>INDEX('Data Mahasiswa'!$N$1:$Q$14, MATCH(MID('Data Status Pendaftar'!B406, 5,2), 'Data Mahasiswa'!$N$1:$N$14,0),2)</f>
        <v>Pertanian</v>
      </c>
      <c r="G406" s="5" t="str" cm="1">
        <f t="array" ref="G406">INDEX('Data Mahasiswa'!$Q$2:$Q$14, MATCH(MID('Data Status Pendaftar'!B406,5,3), 'Data Mahasiswa'!$N$2:$N$14&amp;TEXT('Data Mahasiswa'!$P$2:$P$14,"0"), 0))</f>
        <v>Agribisnis</v>
      </c>
      <c r="H406" s="6">
        <f t="shared" ca="1" si="19"/>
        <v>2</v>
      </c>
      <c r="I406" s="7">
        <f>INDEX('Data Mahasiswa'!$A$1:$J$701, MATCH('Data Status Pendaftar'!B406, 'Data Mahasiswa'!$A$1:$A$701, 0), 10)</f>
        <v>2.9895833333333335</v>
      </c>
      <c r="J406" s="5" t="str" cm="1">
        <f t="array" ref="J406">INDEX('Data Mahasiswa'!B406:I406,MATCH(MIN(VLOOKUP('Data Mahasiswa'!B406:I406,'Data Mahasiswa'!$N$27:$O$36,2,0)),VLOOKUP('Data Mahasiswa'!B406:I406,'Data Mahasiswa'!$N$27:$O$36,2,0),0))</f>
        <v>D</v>
      </c>
      <c r="K406" s="5" t="str">
        <f t="shared" si="20"/>
        <v>Tidak Eligible</v>
      </c>
    </row>
    <row r="407" spans="1:11" x14ac:dyDescent="0.3">
      <c r="A407" s="8">
        <v>406</v>
      </c>
      <c r="B407" s="8" t="s">
        <v>457</v>
      </c>
      <c r="C407" s="8" t="s">
        <v>1163</v>
      </c>
      <c r="D407" s="8" t="s">
        <v>780</v>
      </c>
      <c r="E407" s="9">
        <f t="shared" si="18"/>
        <v>2025</v>
      </c>
      <c r="F407" s="8" t="str">
        <f>INDEX('Data Mahasiswa'!$N$1:$Q$14, MATCH(MID('Data Status Pendaftar'!B407, 5,2), 'Data Mahasiswa'!$N$1:$N$14,0),2)</f>
        <v>Pertanian</v>
      </c>
      <c r="G407" s="8" t="str" cm="1">
        <f t="array" ref="G407">INDEX('Data Mahasiswa'!$Q$2:$Q$14, MATCH(MID('Data Status Pendaftar'!B407,5,3), 'Data Mahasiswa'!$N$2:$N$14&amp;TEXT('Data Mahasiswa'!$P$2:$P$14,"0"), 0))</f>
        <v>Agribisnis</v>
      </c>
      <c r="H407" s="9">
        <f t="shared" ca="1" si="19"/>
        <v>2</v>
      </c>
      <c r="I407" s="10">
        <f>INDEX('Data Mahasiswa'!$A$1:$J$701, MATCH('Data Status Pendaftar'!B407, 'Data Mahasiswa'!$A$1:$A$701, 0), 10)</f>
        <v>3.3958333333333335</v>
      </c>
      <c r="J407" s="8" t="str" cm="1">
        <f t="array" ref="J407">INDEX('Data Mahasiswa'!B407:I407,MATCH(MIN(VLOOKUP('Data Mahasiswa'!B407:I407,'Data Mahasiswa'!$N$27:$O$36,2,0)),VLOOKUP('Data Mahasiswa'!B407:I407,'Data Mahasiswa'!$N$27:$O$36,2,0),0))</f>
        <v>C+</v>
      </c>
      <c r="K407" s="8" t="str">
        <f t="shared" si="20"/>
        <v>Eligible</v>
      </c>
    </row>
    <row r="408" spans="1:11" x14ac:dyDescent="0.3">
      <c r="A408" s="5">
        <v>407</v>
      </c>
      <c r="B408" s="5" t="s">
        <v>458</v>
      </c>
      <c r="C408" s="5" t="s">
        <v>1164</v>
      </c>
      <c r="D408" s="5" t="s">
        <v>779</v>
      </c>
      <c r="E408" s="6">
        <f t="shared" si="18"/>
        <v>2025</v>
      </c>
      <c r="F408" s="5" t="str">
        <f>INDEX('Data Mahasiswa'!$N$1:$Q$14, MATCH(MID('Data Status Pendaftar'!B408, 5,2), 'Data Mahasiswa'!$N$1:$N$14,0),2)</f>
        <v>Pertanian</v>
      </c>
      <c r="G408" s="5" t="str" cm="1">
        <f t="array" ref="G408">INDEX('Data Mahasiswa'!$Q$2:$Q$14, MATCH(MID('Data Status Pendaftar'!B408,5,3), 'Data Mahasiswa'!$N$2:$N$14&amp;TEXT('Data Mahasiswa'!$P$2:$P$14,"0"), 0))</f>
        <v>Agribisnis</v>
      </c>
      <c r="H408" s="6">
        <f t="shared" ca="1" si="19"/>
        <v>2</v>
      </c>
      <c r="I408" s="7">
        <f>INDEX('Data Mahasiswa'!$A$1:$J$701, MATCH('Data Status Pendaftar'!B408, 'Data Mahasiswa'!$A$1:$A$701, 0), 10)</f>
        <v>3.1979166666666665</v>
      </c>
      <c r="J408" s="5" t="str" cm="1">
        <f t="array" ref="J408">INDEX('Data Mahasiswa'!B408:I408,MATCH(MIN(VLOOKUP('Data Mahasiswa'!B408:I408,'Data Mahasiswa'!$N$27:$O$36,2,0)),VLOOKUP('Data Mahasiswa'!B408:I408,'Data Mahasiswa'!$N$27:$O$36,2,0),0))</f>
        <v>C</v>
      </c>
      <c r="K408" s="5" t="str">
        <f t="shared" si="20"/>
        <v>Eligible</v>
      </c>
    </row>
    <row r="409" spans="1:11" x14ac:dyDescent="0.3">
      <c r="A409" s="8">
        <v>408</v>
      </c>
      <c r="B409" s="8" t="s">
        <v>459</v>
      </c>
      <c r="C409" s="8" t="s">
        <v>1165</v>
      </c>
      <c r="D409" s="8" t="s">
        <v>780</v>
      </c>
      <c r="E409" s="9">
        <f t="shared" si="18"/>
        <v>2025</v>
      </c>
      <c r="F409" s="8" t="str">
        <f>INDEX('Data Mahasiswa'!$N$1:$Q$14, MATCH(MID('Data Status Pendaftar'!B409, 5,2), 'Data Mahasiswa'!$N$1:$N$14,0),2)</f>
        <v>Pertanian</v>
      </c>
      <c r="G409" s="8" t="str" cm="1">
        <f t="array" ref="G409">INDEX('Data Mahasiswa'!$Q$2:$Q$14, MATCH(MID('Data Status Pendaftar'!B409,5,3), 'Data Mahasiswa'!$N$2:$N$14&amp;TEXT('Data Mahasiswa'!$P$2:$P$14,"0"), 0))</f>
        <v>Agribisnis</v>
      </c>
      <c r="H409" s="9">
        <f t="shared" ca="1" si="19"/>
        <v>2</v>
      </c>
      <c r="I409" s="10">
        <f>INDEX('Data Mahasiswa'!$A$1:$J$701, MATCH('Data Status Pendaftar'!B409, 'Data Mahasiswa'!$A$1:$A$701, 0), 10)</f>
        <v>2.6979166666666665</v>
      </c>
      <c r="J409" s="8" t="str" cm="1">
        <f t="array" ref="J409">INDEX('Data Mahasiswa'!B409:I409,MATCH(MIN(VLOOKUP('Data Mahasiswa'!B409:I409,'Data Mahasiswa'!$N$27:$O$36,2,0)),VLOOKUP('Data Mahasiswa'!B409:I409,'Data Mahasiswa'!$N$27:$O$36,2,0),0))</f>
        <v>E</v>
      </c>
      <c r="K409" s="8" t="str">
        <f t="shared" si="20"/>
        <v>Tidak Eligible</v>
      </c>
    </row>
    <row r="410" spans="1:11" x14ac:dyDescent="0.3">
      <c r="A410" s="5">
        <v>409</v>
      </c>
      <c r="B410" s="5" t="s">
        <v>460</v>
      </c>
      <c r="C410" s="5" t="s">
        <v>1166</v>
      </c>
      <c r="D410" s="5" t="s">
        <v>779</v>
      </c>
      <c r="E410" s="6">
        <f t="shared" si="18"/>
        <v>2025</v>
      </c>
      <c r="F410" s="5" t="str">
        <f>INDEX('Data Mahasiswa'!$N$1:$Q$14, MATCH(MID('Data Status Pendaftar'!B410, 5,2), 'Data Mahasiswa'!$N$1:$N$14,0),2)</f>
        <v>Pertanian</v>
      </c>
      <c r="G410" s="5" t="str" cm="1">
        <f t="array" ref="G410">INDEX('Data Mahasiswa'!$Q$2:$Q$14, MATCH(MID('Data Status Pendaftar'!B410,5,3), 'Data Mahasiswa'!$N$2:$N$14&amp;TEXT('Data Mahasiswa'!$P$2:$P$14,"0"), 0))</f>
        <v>Agribisnis</v>
      </c>
      <c r="H410" s="6">
        <f t="shared" ca="1" si="19"/>
        <v>2</v>
      </c>
      <c r="I410" s="7">
        <f>INDEX('Data Mahasiswa'!$A$1:$J$701, MATCH('Data Status Pendaftar'!B410, 'Data Mahasiswa'!$A$1:$A$701, 0), 10)</f>
        <v>3.375</v>
      </c>
      <c r="J410" s="5" t="str" cm="1">
        <f t="array" ref="J410">INDEX('Data Mahasiswa'!B410:I410,MATCH(MIN(VLOOKUP('Data Mahasiswa'!B410:I410,'Data Mahasiswa'!$N$27:$O$36,2,0)),VLOOKUP('Data Mahasiswa'!B410:I410,'Data Mahasiswa'!$N$27:$O$36,2,0),0))</f>
        <v>C+</v>
      </c>
      <c r="K410" s="5" t="str">
        <f t="shared" si="20"/>
        <v>Eligible</v>
      </c>
    </row>
    <row r="411" spans="1:11" x14ac:dyDescent="0.3">
      <c r="A411" s="8">
        <v>410</v>
      </c>
      <c r="B411" s="8" t="s">
        <v>461</v>
      </c>
      <c r="C411" s="8" t="s">
        <v>1167</v>
      </c>
      <c r="D411" s="8" t="s">
        <v>779</v>
      </c>
      <c r="E411" s="9">
        <f t="shared" si="18"/>
        <v>2025</v>
      </c>
      <c r="F411" s="8" t="str">
        <f>INDEX('Data Mahasiswa'!$N$1:$Q$14, MATCH(MID('Data Status Pendaftar'!B411, 5,2), 'Data Mahasiswa'!$N$1:$N$14,0),2)</f>
        <v>Pertanian</v>
      </c>
      <c r="G411" s="8" t="str" cm="1">
        <f t="array" ref="G411">INDEX('Data Mahasiswa'!$Q$2:$Q$14, MATCH(MID('Data Status Pendaftar'!B411,5,3), 'Data Mahasiswa'!$N$2:$N$14&amp;TEXT('Data Mahasiswa'!$P$2:$P$14,"0"), 0))</f>
        <v>Agribisnis</v>
      </c>
      <c r="H411" s="9">
        <f t="shared" ca="1" si="19"/>
        <v>2</v>
      </c>
      <c r="I411" s="10">
        <f>INDEX('Data Mahasiswa'!$A$1:$J$701, MATCH('Data Status Pendaftar'!B411, 'Data Mahasiswa'!$A$1:$A$701, 0), 10)</f>
        <v>2.2083333333333335</v>
      </c>
      <c r="J411" s="8" t="str" cm="1">
        <f t="array" ref="J411">INDEX('Data Mahasiswa'!B411:I411,MATCH(MIN(VLOOKUP('Data Mahasiswa'!B411:I411,'Data Mahasiswa'!$N$27:$O$36,2,0)),VLOOKUP('Data Mahasiswa'!B411:I411,'Data Mahasiswa'!$N$27:$O$36,2,0),0))</f>
        <v>E</v>
      </c>
      <c r="K411" s="8" t="str">
        <f t="shared" si="20"/>
        <v>Tidak Eligible</v>
      </c>
    </row>
    <row r="412" spans="1:11" x14ac:dyDescent="0.3">
      <c r="A412" s="5">
        <v>411</v>
      </c>
      <c r="B412" s="5" t="s">
        <v>462</v>
      </c>
      <c r="C412" s="5" t="s">
        <v>1060</v>
      </c>
      <c r="D412" s="5" t="s">
        <v>780</v>
      </c>
      <c r="E412" s="6">
        <f t="shared" si="18"/>
        <v>2025</v>
      </c>
      <c r="F412" s="5" t="str">
        <f>INDEX('Data Mahasiswa'!$N$1:$Q$14, MATCH(MID('Data Status Pendaftar'!B412, 5,2), 'Data Mahasiswa'!$N$1:$N$14,0),2)</f>
        <v>Pertanian</v>
      </c>
      <c r="G412" s="5" t="str" cm="1">
        <f t="array" ref="G412">INDEX('Data Mahasiswa'!$Q$2:$Q$14, MATCH(MID('Data Status Pendaftar'!B412,5,3), 'Data Mahasiswa'!$N$2:$N$14&amp;TEXT('Data Mahasiswa'!$P$2:$P$14,"0"), 0))</f>
        <v>Agribisnis</v>
      </c>
      <c r="H412" s="6">
        <f t="shared" ca="1" si="19"/>
        <v>2</v>
      </c>
      <c r="I412" s="7">
        <f>INDEX('Data Mahasiswa'!$A$1:$J$701, MATCH('Data Status Pendaftar'!B412, 'Data Mahasiswa'!$A$1:$A$701, 0), 10)</f>
        <v>3.1666666666666665</v>
      </c>
      <c r="J412" s="5" t="str" cm="1">
        <f t="array" ref="J412">INDEX('Data Mahasiswa'!B412:I412,MATCH(MIN(VLOOKUP('Data Mahasiswa'!B412:I412,'Data Mahasiswa'!$N$27:$O$36,2,0)),VLOOKUP('Data Mahasiswa'!B412:I412,'Data Mahasiswa'!$N$27:$O$36,2,0),0))</f>
        <v>C</v>
      </c>
      <c r="K412" s="5" t="str">
        <f t="shared" si="20"/>
        <v>Eligible</v>
      </c>
    </row>
    <row r="413" spans="1:11" x14ac:dyDescent="0.3">
      <c r="A413" s="8">
        <v>412</v>
      </c>
      <c r="B413" s="8" t="s">
        <v>463</v>
      </c>
      <c r="C413" s="8" t="s">
        <v>1168</v>
      </c>
      <c r="D413" s="8" t="s">
        <v>780</v>
      </c>
      <c r="E413" s="9">
        <f t="shared" si="18"/>
        <v>2025</v>
      </c>
      <c r="F413" s="8" t="str">
        <f>INDEX('Data Mahasiswa'!$N$1:$Q$14, MATCH(MID('Data Status Pendaftar'!B413, 5,2), 'Data Mahasiswa'!$N$1:$N$14,0),2)</f>
        <v>Pertanian</v>
      </c>
      <c r="G413" s="8" t="str" cm="1">
        <f t="array" ref="G413">INDEX('Data Mahasiswa'!$Q$2:$Q$14, MATCH(MID('Data Status Pendaftar'!B413,5,3), 'Data Mahasiswa'!$N$2:$N$14&amp;TEXT('Data Mahasiswa'!$P$2:$P$14,"0"), 0))</f>
        <v>Agribisnis</v>
      </c>
      <c r="H413" s="9">
        <f t="shared" ca="1" si="19"/>
        <v>2</v>
      </c>
      <c r="I413" s="10">
        <f>INDEX('Data Mahasiswa'!$A$1:$J$701, MATCH('Data Status Pendaftar'!B413, 'Data Mahasiswa'!$A$1:$A$701, 0), 10)</f>
        <v>2.6770833333333335</v>
      </c>
      <c r="J413" s="8" t="str" cm="1">
        <f t="array" ref="J413">INDEX('Data Mahasiswa'!B413:I413,MATCH(MIN(VLOOKUP('Data Mahasiswa'!B413:I413,'Data Mahasiswa'!$N$27:$O$36,2,0)),VLOOKUP('Data Mahasiswa'!B413:I413,'Data Mahasiswa'!$N$27:$O$36,2,0),0))</f>
        <v>D</v>
      </c>
      <c r="K413" s="8" t="str">
        <f t="shared" si="20"/>
        <v>Tidak Eligible</v>
      </c>
    </row>
    <row r="414" spans="1:11" x14ac:dyDescent="0.3">
      <c r="A414" s="5">
        <v>413</v>
      </c>
      <c r="B414" s="5" t="s">
        <v>464</v>
      </c>
      <c r="C414" s="5" t="s">
        <v>1169</v>
      </c>
      <c r="D414" s="5" t="s">
        <v>780</v>
      </c>
      <c r="E414" s="6">
        <f t="shared" si="18"/>
        <v>2025</v>
      </c>
      <c r="F414" s="5" t="str">
        <f>INDEX('Data Mahasiswa'!$N$1:$Q$14, MATCH(MID('Data Status Pendaftar'!B414, 5,2), 'Data Mahasiswa'!$N$1:$N$14,0),2)</f>
        <v>Pertanian</v>
      </c>
      <c r="G414" s="5" t="str" cm="1">
        <f t="array" ref="G414">INDEX('Data Mahasiswa'!$Q$2:$Q$14, MATCH(MID('Data Status Pendaftar'!B414,5,3), 'Data Mahasiswa'!$N$2:$N$14&amp;TEXT('Data Mahasiswa'!$P$2:$P$14,"0"), 0))</f>
        <v>Agribisnis</v>
      </c>
      <c r="H414" s="6">
        <f t="shared" ca="1" si="19"/>
        <v>2</v>
      </c>
      <c r="I414" s="7">
        <f>INDEX('Data Mahasiswa'!$A$1:$J$701, MATCH('Data Status Pendaftar'!B414, 'Data Mahasiswa'!$A$1:$A$701, 0), 10)</f>
        <v>2.9895833333333335</v>
      </c>
      <c r="J414" s="5" t="str" cm="1">
        <f t="array" ref="J414">INDEX('Data Mahasiswa'!B414:I414,MATCH(MIN(VLOOKUP('Data Mahasiswa'!B414:I414,'Data Mahasiswa'!$N$27:$O$36,2,0)),VLOOKUP('Data Mahasiswa'!B414:I414,'Data Mahasiswa'!$N$27:$O$36,2,0),0))</f>
        <v>D</v>
      </c>
      <c r="K414" s="5" t="str">
        <f t="shared" si="20"/>
        <v>Tidak Eligible</v>
      </c>
    </row>
    <row r="415" spans="1:11" x14ac:dyDescent="0.3">
      <c r="A415" s="8">
        <v>414</v>
      </c>
      <c r="B415" s="8" t="s">
        <v>465</v>
      </c>
      <c r="C415" s="8" t="s">
        <v>1170</v>
      </c>
      <c r="D415" s="8" t="s">
        <v>779</v>
      </c>
      <c r="E415" s="9">
        <f t="shared" si="18"/>
        <v>2025</v>
      </c>
      <c r="F415" s="8" t="str">
        <f>INDEX('Data Mahasiswa'!$N$1:$Q$14, MATCH(MID('Data Status Pendaftar'!B415, 5,2), 'Data Mahasiswa'!$N$1:$N$14,0),2)</f>
        <v>Pertanian</v>
      </c>
      <c r="G415" s="8" t="str" cm="1">
        <f t="array" ref="G415">INDEX('Data Mahasiswa'!$Q$2:$Q$14, MATCH(MID('Data Status Pendaftar'!B415,5,3), 'Data Mahasiswa'!$N$2:$N$14&amp;TEXT('Data Mahasiswa'!$P$2:$P$14,"0"), 0))</f>
        <v>Agribisnis</v>
      </c>
      <c r="H415" s="9">
        <f t="shared" ca="1" si="19"/>
        <v>2</v>
      </c>
      <c r="I415" s="10">
        <f>INDEX('Data Mahasiswa'!$A$1:$J$701, MATCH('Data Status Pendaftar'!B415, 'Data Mahasiswa'!$A$1:$A$701, 0), 10)</f>
        <v>3.2291666666666665</v>
      </c>
      <c r="J415" s="8" t="str" cm="1">
        <f t="array" ref="J415">INDEX('Data Mahasiswa'!B415:I415,MATCH(MIN(VLOOKUP('Data Mahasiswa'!B415:I415,'Data Mahasiswa'!$N$27:$O$36,2,0)),VLOOKUP('Data Mahasiswa'!B415:I415,'Data Mahasiswa'!$N$27:$O$36,2,0),0))</f>
        <v>C+</v>
      </c>
      <c r="K415" s="8" t="str">
        <f t="shared" si="20"/>
        <v>Eligible</v>
      </c>
    </row>
    <row r="416" spans="1:11" x14ac:dyDescent="0.3">
      <c r="A416" s="5">
        <v>415</v>
      </c>
      <c r="B416" s="5" t="s">
        <v>466</v>
      </c>
      <c r="C416" s="5" t="s">
        <v>1088</v>
      </c>
      <c r="D416" s="5" t="s">
        <v>779</v>
      </c>
      <c r="E416" s="6">
        <f t="shared" si="18"/>
        <v>2025</v>
      </c>
      <c r="F416" s="5" t="str">
        <f>INDEX('Data Mahasiswa'!$N$1:$Q$14, MATCH(MID('Data Status Pendaftar'!B416, 5,2), 'Data Mahasiswa'!$N$1:$N$14,0),2)</f>
        <v>Pertanian</v>
      </c>
      <c r="G416" s="5" t="str" cm="1">
        <f t="array" ref="G416">INDEX('Data Mahasiswa'!$Q$2:$Q$14, MATCH(MID('Data Status Pendaftar'!B416,5,3), 'Data Mahasiswa'!$N$2:$N$14&amp;TEXT('Data Mahasiswa'!$P$2:$P$14,"0"), 0))</f>
        <v>Agribisnis</v>
      </c>
      <c r="H416" s="6">
        <f t="shared" ca="1" si="19"/>
        <v>2</v>
      </c>
      <c r="I416" s="7">
        <f>INDEX('Data Mahasiswa'!$A$1:$J$701, MATCH('Data Status Pendaftar'!B416, 'Data Mahasiswa'!$A$1:$A$701, 0), 10)</f>
        <v>3.2708333333333335</v>
      </c>
      <c r="J416" s="5" t="str" cm="1">
        <f t="array" ref="J416">INDEX('Data Mahasiswa'!B416:I416,MATCH(MIN(VLOOKUP('Data Mahasiswa'!B416:I416,'Data Mahasiswa'!$N$27:$O$36,2,0)),VLOOKUP('Data Mahasiswa'!B416:I416,'Data Mahasiswa'!$N$27:$O$36,2,0),0))</f>
        <v>B-</v>
      </c>
      <c r="K416" s="5" t="str">
        <f t="shared" si="20"/>
        <v>Eligible</v>
      </c>
    </row>
    <row r="417" spans="1:11" x14ac:dyDescent="0.3">
      <c r="A417" s="8">
        <v>416</v>
      </c>
      <c r="B417" s="8" t="s">
        <v>467</v>
      </c>
      <c r="C417" s="8" t="s">
        <v>1171</v>
      </c>
      <c r="D417" s="8" t="s">
        <v>780</v>
      </c>
      <c r="E417" s="9">
        <f t="shared" si="18"/>
        <v>2025</v>
      </c>
      <c r="F417" s="8" t="str">
        <f>INDEX('Data Mahasiswa'!$N$1:$Q$14, MATCH(MID('Data Status Pendaftar'!B417, 5,2), 'Data Mahasiswa'!$N$1:$N$14,0),2)</f>
        <v>Pertanian</v>
      </c>
      <c r="G417" s="8" t="str" cm="1">
        <f t="array" ref="G417">INDEX('Data Mahasiswa'!$Q$2:$Q$14, MATCH(MID('Data Status Pendaftar'!B417,5,3), 'Data Mahasiswa'!$N$2:$N$14&amp;TEXT('Data Mahasiswa'!$P$2:$P$14,"0"), 0))</f>
        <v>Agribisnis</v>
      </c>
      <c r="H417" s="9">
        <f t="shared" ca="1" si="19"/>
        <v>2</v>
      </c>
      <c r="I417" s="10">
        <f>INDEX('Data Mahasiswa'!$A$1:$J$701, MATCH('Data Status Pendaftar'!B417, 'Data Mahasiswa'!$A$1:$A$701, 0), 10)</f>
        <v>3.1145833333333335</v>
      </c>
      <c r="J417" s="8" t="str" cm="1">
        <f t="array" ref="J417">INDEX('Data Mahasiswa'!B417:I417,MATCH(MIN(VLOOKUP('Data Mahasiswa'!B417:I417,'Data Mahasiswa'!$N$27:$O$36,2,0)),VLOOKUP('Data Mahasiswa'!B417:I417,'Data Mahasiswa'!$N$27:$O$36,2,0),0))</f>
        <v>D</v>
      </c>
      <c r="K417" s="8" t="str">
        <f t="shared" si="20"/>
        <v>Tidak Eligible</v>
      </c>
    </row>
    <row r="418" spans="1:11" x14ac:dyDescent="0.3">
      <c r="A418" s="5">
        <v>417</v>
      </c>
      <c r="B418" s="5" t="s">
        <v>468</v>
      </c>
      <c r="C418" s="5" t="s">
        <v>1172</v>
      </c>
      <c r="D418" s="5" t="s">
        <v>779</v>
      </c>
      <c r="E418" s="6">
        <f t="shared" si="18"/>
        <v>2025</v>
      </c>
      <c r="F418" s="5" t="str">
        <f>INDEX('Data Mahasiswa'!$N$1:$Q$14, MATCH(MID('Data Status Pendaftar'!B418, 5,2), 'Data Mahasiswa'!$N$1:$N$14,0),2)</f>
        <v>Ilmu Sosial</v>
      </c>
      <c r="G418" s="5" t="str" cm="1">
        <f t="array" ref="G418">INDEX('Data Mahasiswa'!$Q$2:$Q$14, MATCH(MID('Data Status Pendaftar'!B418,5,3), 'Data Mahasiswa'!$N$2:$N$14&amp;TEXT('Data Mahasiswa'!$P$2:$P$14,"0"), 0))</f>
        <v>Administrasi Publik</v>
      </c>
      <c r="H418" s="6">
        <f t="shared" ca="1" si="19"/>
        <v>2</v>
      </c>
      <c r="I418" s="7">
        <f>INDEX('Data Mahasiswa'!$A$1:$J$701, MATCH('Data Status Pendaftar'!B418, 'Data Mahasiswa'!$A$1:$A$701, 0), 10)</f>
        <v>3.0416666666666665</v>
      </c>
      <c r="J418" s="5" t="str" cm="1">
        <f t="array" ref="J418">INDEX('Data Mahasiswa'!B418:I418,MATCH(MIN(VLOOKUP('Data Mahasiswa'!B418:I418,'Data Mahasiswa'!$N$27:$O$36,2,0)),VLOOKUP('Data Mahasiswa'!B418:I418,'Data Mahasiswa'!$N$27:$O$36,2,0),0))</f>
        <v>C</v>
      </c>
      <c r="K418" s="5" t="str">
        <f t="shared" si="20"/>
        <v>Eligible</v>
      </c>
    </row>
    <row r="419" spans="1:11" x14ac:dyDescent="0.3">
      <c r="A419" s="8">
        <v>418</v>
      </c>
      <c r="B419" s="8" t="s">
        <v>469</v>
      </c>
      <c r="C419" s="8" t="s">
        <v>1173</v>
      </c>
      <c r="D419" s="8" t="s">
        <v>779</v>
      </c>
      <c r="E419" s="9">
        <f t="shared" si="18"/>
        <v>2025</v>
      </c>
      <c r="F419" s="8" t="str">
        <f>INDEX('Data Mahasiswa'!$N$1:$Q$14, MATCH(MID('Data Status Pendaftar'!B419, 5,2), 'Data Mahasiswa'!$N$1:$N$14,0),2)</f>
        <v>Ilmu Sosial</v>
      </c>
      <c r="G419" s="8" t="str" cm="1">
        <f t="array" ref="G419">INDEX('Data Mahasiswa'!$Q$2:$Q$14, MATCH(MID('Data Status Pendaftar'!B419,5,3), 'Data Mahasiswa'!$N$2:$N$14&amp;TEXT('Data Mahasiswa'!$P$2:$P$14,"0"), 0))</f>
        <v>Administrasi Publik</v>
      </c>
      <c r="H419" s="9">
        <f t="shared" ca="1" si="19"/>
        <v>2</v>
      </c>
      <c r="I419" s="10">
        <f>INDEX('Data Mahasiswa'!$A$1:$J$701, MATCH('Data Status Pendaftar'!B419, 'Data Mahasiswa'!$A$1:$A$701, 0), 10)</f>
        <v>3.4479166666666665</v>
      </c>
      <c r="J419" s="8" t="str" cm="1">
        <f t="array" ref="J419">INDEX('Data Mahasiswa'!B419:I419,MATCH(MIN(VLOOKUP('Data Mahasiswa'!B419:I419,'Data Mahasiswa'!$N$27:$O$36,2,0)),VLOOKUP('Data Mahasiswa'!B419:I419,'Data Mahasiswa'!$N$27:$O$36,2,0),0))</f>
        <v>B</v>
      </c>
      <c r="K419" s="8" t="str">
        <f t="shared" si="20"/>
        <v>Eligible</v>
      </c>
    </row>
    <row r="420" spans="1:11" x14ac:dyDescent="0.3">
      <c r="A420" s="5">
        <v>419</v>
      </c>
      <c r="B420" s="5" t="s">
        <v>470</v>
      </c>
      <c r="C420" s="5" t="s">
        <v>1174</v>
      </c>
      <c r="D420" s="5" t="s">
        <v>779</v>
      </c>
      <c r="E420" s="6">
        <f t="shared" si="18"/>
        <v>2025</v>
      </c>
      <c r="F420" s="5" t="str">
        <f>INDEX('Data Mahasiswa'!$N$1:$Q$14, MATCH(MID('Data Status Pendaftar'!B420, 5,2), 'Data Mahasiswa'!$N$1:$N$14,0),2)</f>
        <v>Ilmu Sosial</v>
      </c>
      <c r="G420" s="5" t="str" cm="1">
        <f t="array" ref="G420">INDEX('Data Mahasiswa'!$Q$2:$Q$14, MATCH(MID('Data Status Pendaftar'!B420,5,3), 'Data Mahasiswa'!$N$2:$N$14&amp;TEXT('Data Mahasiswa'!$P$2:$P$14,"0"), 0))</f>
        <v>Administrasi Publik</v>
      </c>
      <c r="H420" s="6">
        <f t="shared" ca="1" si="19"/>
        <v>2</v>
      </c>
      <c r="I420" s="7">
        <f>INDEX('Data Mahasiswa'!$A$1:$J$701, MATCH('Data Status Pendaftar'!B420, 'Data Mahasiswa'!$A$1:$A$701, 0), 10)</f>
        <v>2.9375</v>
      </c>
      <c r="J420" s="5" t="str" cm="1">
        <f t="array" ref="J420">INDEX('Data Mahasiswa'!B420:I420,MATCH(MIN(VLOOKUP('Data Mahasiswa'!B420:I420,'Data Mahasiswa'!$N$27:$O$36,2,0)),VLOOKUP('Data Mahasiswa'!B420:I420,'Data Mahasiswa'!$N$27:$O$36,2,0),0))</f>
        <v>D</v>
      </c>
      <c r="K420" s="5" t="str">
        <f t="shared" si="20"/>
        <v>Tidak Eligible</v>
      </c>
    </row>
    <row r="421" spans="1:11" x14ac:dyDescent="0.3">
      <c r="A421" s="8">
        <v>420</v>
      </c>
      <c r="B421" s="8" t="s">
        <v>471</v>
      </c>
      <c r="C421" s="8" t="s">
        <v>1175</v>
      </c>
      <c r="D421" s="8" t="s">
        <v>780</v>
      </c>
      <c r="E421" s="9">
        <f t="shared" si="18"/>
        <v>2025</v>
      </c>
      <c r="F421" s="8" t="str">
        <f>INDEX('Data Mahasiswa'!$N$1:$Q$14, MATCH(MID('Data Status Pendaftar'!B421, 5,2), 'Data Mahasiswa'!$N$1:$N$14,0),2)</f>
        <v>Ilmu Sosial</v>
      </c>
      <c r="G421" s="8" t="str" cm="1">
        <f t="array" ref="G421">INDEX('Data Mahasiswa'!$Q$2:$Q$14, MATCH(MID('Data Status Pendaftar'!B421,5,3), 'Data Mahasiswa'!$N$2:$N$14&amp;TEXT('Data Mahasiswa'!$P$2:$P$14,"0"), 0))</f>
        <v>Administrasi Publik</v>
      </c>
      <c r="H421" s="9">
        <f t="shared" ca="1" si="19"/>
        <v>2</v>
      </c>
      <c r="I421" s="10">
        <f>INDEX('Data Mahasiswa'!$A$1:$J$701, MATCH('Data Status Pendaftar'!B421, 'Data Mahasiswa'!$A$1:$A$701, 0), 10)</f>
        <v>3.125</v>
      </c>
      <c r="J421" s="8" t="str" cm="1">
        <f t="array" ref="J421">INDEX('Data Mahasiswa'!B421:I421,MATCH(MIN(VLOOKUP('Data Mahasiswa'!B421:I421,'Data Mahasiswa'!$N$27:$O$36,2,0)),VLOOKUP('Data Mahasiswa'!B421:I421,'Data Mahasiswa'!$N$27:$O$36,2,0),0))</f>
        <v>C+</v>
      </c>
      <c r="K421" s="8" t="str">
        <f t="shared" si="20"/>
        <v>Eligible</v>
      </c>
    </row>
    <row r="422" spans="1:11" x14ac:dyDescent="0.3">
      <c r="A422" s="5">
        <v>421</v>
      </c>
      <c r="B422" s="5" t="s">
        <v>472</v>
      </c>
      <c r="C422" s="5" t="s">
        <v>1176</v>
      </c>
      <c r="D422" s="5" t="s">
        <v>779</v>
      </c>
      <c r="E422" s="6">
        <f t="shared" si="18"/>
        <v>2025</v>
      </c>
      <c r="F422" s="5" t="str">
        <f>INDEX('Data Mahasiswa'!$N$1:$Q$14, MATCH(MID('Data Status Pendaftar'!B422, 5,2), 'Data Mahasiswa'!$N$1:$N$14,0),2)</f>
        <v>Ilmu Sosial</v>
      </c>
      <c r="G422" s="5" t="str" cm="1">
        <f t="array" ref="G422">INDEX('Data Mahasiswa'!$Q$2:$Q$14, MATCH(MID('Data Status Pendaftar'!B422,5,3), 'Data Mahasiswa'!$N$2:$N$14&amp;TEXT('Data Mahasiswa'!$P$2:$P$14,"0"), 0))</f>
        <v>Administrasi Publik</v>
      </c>
      <c r="H422" s="6">
        <f t="shared" ca="1" si="19"/>
        <v>2</v>
      </c>
      <c r="I422" s="7">
        <f>INDEX('Data Mahasiswa'!$A$1:$J$701, MATCH('Data Status Pendaftar'!B422, 'Data Mahasiswa'!$A$1:$A$701, 0), 10)</f>
        <v>3.46875</v>
      </c>
      <c r="J422" s="5" t="str" cm="1">
        <f t="array" ref="J422">INDEX('Data Mahasiswa'!B422:I422,MATCH(MIN(VLOOKUP('Data Mahasiswa'!B422:I422,'Data Mahasiswa'!$N$27:$O$36,2,0)),VLOOKUP('Data Mahasiswa'!B422:I422,'Data Mahasiswa'!$N$27:$O$36,2,0),0))</f>
        <v>C</v>
      </c>
      <c r="K422" s="5" t="str">
        <f t="shared" si="20"/>
        <v>Eligible</v>
      </c>
    </row>
    <row r="423" spans="1:11" x14ac:dyDescent="0.3">
      <c r="A423" s="8">
        <v>422</v>
      </c>
      <c r="B423" s="8" t="s">
        <v>473</v>
      </c>
      <c r="C423" s="8" t="s">
        <v>1177</v>
      </c>
      <c r="D423" s="8" t="s">
        <v>779</v>
      </c>
      <c r="E423" s="9">
        <f t="shared" si="18"/>
        <v>2025</v>
      </c>
      <c r="F423" s="8" t="str">
        <f>INDEX('Data Mahasiswa'!$N$1:$Q$14, MATCH(MID('Data Status Pendaftar'!B423, 5,2), 'Data Mahasiswa'!$N$1:$N$14,0),2)</f>
        <v>Ilmu Sosial</v>
      </c>
      <c r="G423" s="8" t="str" cm="1">
        <f t="array" ref="G423">INDEX('Data Mahasiswa'!$Q$2:$Q$14, MATCH(MID('Data Status Pendaftar'!B423,5,3), 'Data Mahasiswa'!$N$2:$N$14&amp;TEXT('Data Mahasiswa'!$P$2:$P$14,"0"), 0))</f>
        <v>Administrasi Publik</v>
      </c>
      <c r="H423" s="9">
        <f t="shared" ca="1" si="19"/>
        <v>2</v>
      </c>
      <c r="I423" s="10">
        <f>INDEX('Data Mahasiswa'!$A$1:$J$701, MATCH('Data Status Pendaftar'!B423, 'Data Mahasiswa'!$A$1:$A$701, 0), 10)</f>
        <v>2.875</v>
      </c>
      <c r="J423" s="8" t="str" cm="1">
        <f t="array" ref="J423">INDEX('Data Mahasiswa'!B423:I423,MATCH(MIN(VLOOKUP('Data Mahasiswa'!B423:I423,'Data Mahasiswa'!$N$27:$O$36,2,0)),VLOOKUP('Data Mahasiswa'!B423:I423,'Data Mahasiswa'!$N$27:$O$36,2,0),0))</f>
        <v>E</v>
      </c>
      <c r="K423" s="8" t="str">
        <f t="shared" si="20"/>
        <v>Tidak Eligible</v>
      </c>
    </row>
    <row r="424" spans="1:11" x14ac:dyDescent="0.3">
      <c r="A424" s="5">
        <v>423</v>
      </c>
      <c r="B424" s="5" t="s">
        <v>474</v>
      </c>
      <c r="C424" s="5" t="s">
        <v>1178</v>
      </c>
      <c r="D424" s="5" t="s">
        <v>780</v>
      </c>
      <c r="E424" s="6">
        <f t="shared" si="18"/>
        <v>2025</v>
      </c>
      <c r="F424" s="5" t="str">
        <f>INDEX('Data Mahasiswa'!$N$1:$Q$14, MATCH(MID('Data Status Pendaftar'!B424, 5,2), 'Data Mahasiswa'!$N$1:$N$14,0),2)</f>
        <v>Ilmu Sosial</v>
      </c>
      <c r="G424" s="5" t="str" cm="1">
        <f t="array" ref="G424">INDEX('Data Mahasiswa'!$Q$2:$Q$14, MATCH(MID('Data Status Pendaftar'!B424,5,3), 'Data Mahasiswa'!$N$2:$N$14&amp;TEXT('Data Mahasiswa'!$P$2:$P$14,"0"), 0))</f>
        <v>Administrasi Publik</v>
      </c>
      <c r="H424" s="6">
        <f t="shared" ca="1" si="19"/>
        <v>2</v>
      </c>
      <c r="I424" s="7">
        <f>INDEX('Data Mahasiswa'!$A$1:$J$701, MATCH('Data Status Pendaftar'!B424, 'Data Mahasiswa'!$A$1:$A$701, 0), 10)</f>
        <v>2.9791666666666665</v>
      </c>
      <c r="J424" s="5" t="str" cm="1">
        <f t="array" ref="J424">INDEX('Data Mahasiswa'!B424:I424,MATCH(MIN(VLOOKUP('Data Mahasiswa'!B424:I424,'Data Mahasiswa'!$N$27:$O$36,2,0)),VLOOKUP('Data Mahasiswa'!B424:I424,'Data Mahasiswa'!$N$27:$O$36,2,0),0))</f>
        <v>C</v>
      </c>
      <c r="K424" s="5" t="str">
        <f t="shared" si="20"/>
        <v>Eligible</v>
      </c>
    </row>
    <row r="425" spans="1:11" x14ac:dyDescent="0.3">
      <c r="A425" s="8">
        <v>424</v>
      </c>
      <c r="B425" s="8" t="s">
        <v>475</v>
      </c>
      <c r="C425" s="8" t="s">
        <v>1179</v>
      </c>
      <c r="D425" s="8" t="s">
        <v>779</v>
      </c>
      <c r="E425" s="9">
        <f t="shared" si="18"/>
        <v>2025</v>
      </c>
      <c r="F425" s="8" t="str">
        <f>INDEX('Data Mahasiswa'!$N$1:$Q$14, MATCH(MID('Data Status Pendaftar'!B425, 5,2), 'Data Mahasiswa'!$N$1:$N$14,0),2)</f>
        <v>Ilmu Sosial</v>
      </c>
      <c r="G425" s="8" t="str" cm="1">
        <f t="array" ref="G425">INDEX('Data Mahasiswa'!$Q$2:$Q$14, MATCH(MID('Data Status Pendaftar'!B425,5,3), 'Data Mahasiswa'!$N$2:$N$14&amp;TEXT('Data Mahasiswa'!$P$2:$P$14,"0"), 0))</f>
        <v>Administrasi Publik</v>
      </c>
      <c r="H425" s="9">
        <f t="shared" ca="1" si="19"/>
        <v>2</v>
      </c>
      <c r="I425" s="10">
        <f>INDEX('Data Mahasiswa'!$A$1:$J$701, MATCH('Data Status Pendaftar'!B425, 'Data Mahasiswa'!$A$1:$A$701, 0), 10)</f>
        <v>3.0520833333333335</v>
      </c>
      <c r="J425" s="8" t="str" cm="1">
        <f t="array" ref="J425">INDEX('Data Mahasiswa'!B425:I425,MATCH(MIN(VLOOKUP('Data Mahasiswa'!B425:I425,'Data Mahasiswa'!$N$27:$O$36,2,0)),VLOOKUP('Data Mahasiswa'!B425:I425,'Data Mahasiswa'!$N$27:$O$36,2,0),0))</f>
        <v>D</v>
      </c>
      <c r="K425" s="8" t="str">
        <f t="shared" si="20"/>
        <v>Tidak Eligible</v>
      </c>
    </row>
    <row r="426" spans="1:11" x14ac:dyDescent="0.3">
      <c r="A426" s="5">
        <v>425</v>
      </c>
      <c r="B426" s="5" t="s">
        <v>476</v>
      </c>
      <c r="C426" s="5" t="s">
        <v>1180</v>
      </c>
      <c r="D426" s="5" t="s">
        <v>780</v>
      </c>
      <c r="E426" s="6">
        <f t="shared" si="18"/>
        <v>2025</v>
      </c>
      <c r="F426" s="5" t="str">
        <f>INDEX('Data Mahasiswa'!$N$1:$Q$14, MATCH(MID('Data Status Pendaftar'!B426, 5,2), 'Data Mahasiswa'!$N$1:$N$14,0),2)</f>
        <v>Ilmu Sosial</v>
      </c>
      <c r="G426" s="5" t="str" cm="1">
        <f t="array" ref="G426">INDEX('Data Mahasiswa'!$Q$2:$Q$14, MATCH(MID('Data Status Pendaftar'!B426,5,3), 'Data Mahasiswa'!$N$2:$N$14&amp;TEXT('Data Mahasiswa'!$P$2:$P$14,"0"), 0))</f>
        <v>Administrasi Publik</v>
      </c>
      <c r="H426" s="6">
        <f t="shared" ca="1" si="19"/>
        <v>2</v>
      </c>
      <c r="I426" s="7">
        <f>INDEX('Data Mahasiswa'!$A$1:$J$701, MATCH('Data Status Pendaftar'!B426, 'Data Mahasiswa'!$A$1:$A$701, 0), 10)</f>
        <v>2.7395833333333335</v>
      </c>
      <c r="J426" s="5" t="str" cm="1">
        <f t="array" ref="J426">INDEX('Data Mahasiswa'!B426:I426,MATCH(MIN(VLOOKUP('Data Mahasiswa'!B426:I426,'Data Mahasiswa'!$N$27:$O$36,2,0)),VLOOKUP('Data Mahasiswa'!B426:I426,'Data Mahasiswa'!$N$27:$O$36,2,0),0))</f>
        <v>E</v>
      </c>
      <c r="K426" s="5" t="str">
        <f t="shared" si="20"/>
        <v>Tidak Eligible</v>
      </c>
    </row>
    <row r="427" spans="1:11" x14ac:dyDescent="0.3">
      <c r="A427" s="8">
        <v>426</v>
      </c>
      <c r="B427" s="8" t="s">
        <v>477</v>
      </c>
      <c r="C427" s="8" t="s">
        <v>1181</v>
      </c>
      <c r="D427" s="8" t="s">
        <v>780</v>
      </c>
      <c r="E427" s="9">
        <f t="shared" si="18"/>
        <v>2025</v>
      </c>
      <c r="F427" s="8" t="str">
        <f>INDEX('Data Mahasiswa'!$N$1:$Q$14, MATCH(MID('Data Status Pendaftar'!B427, 5,2), 'Data Mahasiswa'!$N$1:$N$14,0),2)</f>
        <v>Ilmu Sosial</v>
      </c>
      <c r="G427" s="8" t="str" cm="1">
        <f t="array" ref="G427">INDEX('Data Mahasiswa'!$Q$2:$Q$14, MATCH(MID('Data Status Pendaftar'!B427,5,3), 'Data Mahasiswa'!$N$2:$N$14&amp;TEXT('Data Mahasiswa'!$P$2:$P$14,"0"), 0))</f>
        <v>Administrasi Publik</v>
      </c>
      <c r="H427" s="9">
        <f t="shared" ca="1" si="19"/>
        <v>2</v>
      </c>
      <c r="I427" s="10">
        <f>INDEX('Data Mahasiswa'!$A$1:$J$701, MATCH('Data Status Pendaftar'!B427, 'Data Mahasiswa'!$A$1:$A$701, 0), 10)</f>
        <v>2.8645833333333335</v>
      </c>
      <c r="J427" s="8" t="str" cm="1">
        <f t="array" ref="J427">INDEX('Data Mahasiswa'!B427:I427,MATCH(MIN(VLOOKUP('Data Mahasiswa'!B427:I427,'Data Mahasiswa'!$N$27:$O$36,2,0)),VLOOKUP('Data Mahasiswa'!B427:I427,'Data Mahasiswa'!$N$27:$O$36,2,0),0))</f>
        <v>C</v>
      </c>
      <c r="K427" s="8" t="str">
        <f t="shared" si="20"/>
        <v>Eligible</v>
      </c>
    </row>
    <row r="428" spans="1:11" x14ac:dyDescent="0.3">
      <c r="A428" s="5">
        <v>427</v>
      </c>
      <c r="B428" s="5" t="s">
        <v>478</v>
      </c>
      <c r="C428" s="5" t="s">
        <v>756</v>
      </c>
      <c r="D428" s="5" t="s">
        <v>779</v>
      </c>
      <c r="E428" s="6">
        <f t="shared" si="18"/>
        <v>2025</v>
      </c>
      <c r="F428" s="5" t="str">
        <f>INDEX('Data Mahasiswa'!$N$1:$Q$14, MATCH(MID('Data Status Pendaftar'!B428, 5,2), 'Data Mahasiswa'!$N$1:$N$14,0),2)</f>
        <v>Ilmu Sosial</v>
      </c>
      <c r="G428" s="5" t="str" cm="1">
        <f t="array" ref="G428">INDEX('Data Mahasiswa'!$Q$2:$Q$14, MATCH(MID('Data Status Pendaftar'!B428,5,3), 'Data Mahasiswa'!$N$2:$N$14&amp;TEXT('Data Mahasiswa'!$P$2:$P$14,"0"), 0))</f>
        <v>Administrasi Publik</v>
      </c>
      <c r="H428" s="6">
        <f t="shared" ca="1" si="19"/>
        <v>2</v>
      </c>
      <c r="I428" s="7">
        <f>INDEX('Data Mahasiswa'!$A$1:$J$701, MATCH('Data Status Pendaftar'!B428, 'Data Mahasiswa'!$A$1:$A$701, 0), 10)</f>
        <v>2.6979166666666665</v>
      </c>
      <c r="J428" s="5" t="str" cm="1">
        <f t="array" ref="J428">INDEX('Data Mahasiswa'!B428:I428,MATCH(MIN(VLOOKUP('Data Mahasiswa'!B428:I428,'Data Mahasiswa'!$N$27:$O$36,2,0)),VLOOKUP('Data Mahasiswa'!B428:I428,'Data Mahasiswa'!$N$27:$O$36,2,0),0))</f>
        <v>D</v>
      </c>
      <c r="K428" s="5" t="str">
        <f t="shared" si="20"/>
        <v>Tidak Eligible</v>
      </c>
    </row>
    <row r="429" spans="1:11" x14ac:dyDescent="0.3">
      <c r="A429" s="8">
        <v>428</v>
      </c>
      <c r="B429" s="8" t="s">
        <v>479</v>
      </c>
      <c r="C429" s="8" t="s">
        <v>1182</v>
      </c>
      <c r="D429" s="8" t="s">
        <v>780</v>
      </c>
      <c r="E429" s="9">
        <f t="shared" si="18"/>
        <v>2025</v>
      </c>
      <c r="F429" s="8" t="str">
        <f>INDEX('Data Mahasiswa'!$N$1:$Q$14, MATCH(MID('Data Status Pendaftar'!B429, 5,2), 'Data Mahasiswa'!$N$1:$N$14,0),2)</f>
        <v>Ilmu Sosial</v>
      </c>
      <c r="G429" s="8" t="str" cm="1">
        <f t="array" ref="G429">INDEX('Data Mahasiswa'!$Q$2:$Q$14, MATCH(MID('Data Status Pendaftar'!B429,5,3), 'Data Mahasiswa'!$N$2:$N$14&amp;TEXT('Data Mahasiswa'!$P$2:$P$14,"0"), 0))</f>
        <v>Administrasi Publik</v>
      </c>
      <c r="H429" s="9">
        <f t="shared" ca="1" si="19"/>
        <v>2</v>
      </c>
      <c r="I429" s="10">
        <f>INDEX('Data Mahasiswa'!$A$1:$J$701, MATCH('Data Status Pendaftar'!B429, 'Data Mahasiswa'!$A$1:$A$701, 0), 10)</f>
        <v>2.5833333333333335</v>
      </c>
      <c r="J429" s="8" t="str" cm="1">
        <f t="array" ref="J429">INDEX('Data Mahasiswa'!B429:I429,MATCH(MIN(VLOOKUP('Data Mahasiswa'!B429:I429,'Data Mahasiswa'!$N$27:$O$36,2,0)),VLOOKUP('Data Mahasiswa'!B429:I429,'Data Mahasiswa'!$N$27:$O$36,2,0),0))</f>
        <v>D</v>
      </c>
      <c r="K429" s="8" t="str">
        <f t="shared" si="20"/>
        <v>Tidak Eligible</v>
      </c>
    </row>
    <row r="430" spans="1:11" x14ac:dyDescent="0.3">
      <c r="A430" s="5">
        <v>429</v>
      </c>
      <c r="B430" s="5" t="s">
        <v>480</v>
      </c>
      <c r="C430" s="5" t="s">
        <v>1183</v>
      </c>
      <c r="D430" s="5" t="s">
        <v>780</v>
      </c>
      <c r="E430" s="6">
        <f t="shared" si="18"/>
        <v>2025</v>
      </c>
      <c r="F430" s="5" t="str">
        <f>INDEX('Data Mahasiswa'!$N$1:$Q$14, MATCH(MID('Data Status Pendaftar'!B430, 5,2), 'Data Mahasiswa'!$N$1:$N$14,0),2)</f>
        <v>Ilmu Sosial</v>
      </c>
      <c r="G430" s="5" t="str" cm="1">
        <f t="array" ref="G430">INDEX('Data Mahasiswa'!$Q$2:$Q$14, MATCH(MID('Data Status Pendaftar'!B430,5,3), 'Data Mahasiswa'!$N$2:$N$14&amp;TEXT('Data Mahasiswa'!$P$2:$P$14,"0"), 0))</f>
        <v>Administrasi Publik</v>
      </c>
      <c r="H430" s="6">
        <f t="shared" ca="1" si="19"/>
        <v>2</v>
      </c>
      <c r="I430" s="7">
        <f>INDEX('Data Mahasiswa'!$A$1:$J$701, MATCH('Data Status Pendaftar'!B430, 'Data Mahasiswa'!$A$1:$A$701, 0), 10)</f>
        <v>2.7083333333333335</v>
      </c>
      <c r="J430" s="5" t="str" cm="1">
        <f t="array" ref="J430">INDEX('Data Mahasiswa'!B430:I430,MATCH(MIN(VLOOKUP('Data Mahasiswa'!B430:I430,'Data Mahasiswa'!$N$27:$O$36,2,0)),VLOOKUP('Data Mahasiswa'!B430:I430,'Data Mahasiswa'!$N$27:$O$36,2,0),0))</f>
        <v>D</v>
      </c>
      <c r="K430" s="5" t="str">
        <f t="shared" si="20"/>
        <v>Tidak Eligible</v>
      </c>
    </row>
    <row r="431" spans="1:11" x14ac:dyDescent="0.3">
      <c r="A431" s="8">
        <v>430</v>
      </c>
      <c r="B431" s="8" t="s">
        <v>481</v>
      </c>
      <c r="C431" s="8" t="s">
        <v>1184</v>
      </c>
      <c r="D431" s="8" t="s">
        <v>779</v>
      </c>
      <c r="E431" s="9">
        <f t="shared" si="18"/>
        <v>2025</v>
      </c>
      <c r="F431" s="8" t="str">
        <f>INDEX('Data Mahasiswa'!$N$1:$Q$14, MATCH(MID('Data Status Pendaftar'!B431, 5,2), 'Data Mahasiswa'!$N$1:$N$14,0),2)</f>
        <v>Ilmu Sosial</v>
      </c>
      <c r="G431" s="8" t="str" cm="1">
        <f t="array" ref="G431">INDEX('Data Mahasiswa'!$Q$2:$Q$14, MATCH(MID('Data Status Pendaftar'!B431,5,3), 'Data Mahasiswa'!$N$2:$N$14&amp;TEXT('Data Mahasiswa'!$P$2:$P$14,"0"), 0))</f>
        <v>Administrasi Publik</v>
      </c>
      <c r="H431" s="9">
        <f t="shared" ca="1" si="19"/>
        <v>2</v>
      </c>
      <c r="I431" s="10">
        <f>INDEX('Data Mahasiswa'!$A$1:$J$701, MATCH('Data Status Pendaftar'!B431, 'Data Mahasiswa'!$A$1:$A$701, 0), 10)</f>
        <v>2.84375</v>
      </c>
      <c r="J431" s="8" t="str" cm="1">
        <f t="array" ref="J431">INDEX('Data Mahasiswa'!B431:I431,MATCH(MIN(VLOOKUP('Data Mahasiswa'!B431:I431,'Data Mahasiswa'!$N$27:$O$36,2,0)),VLOOKUP('Data Mahasiswa'!B431:I431,'Data Mahasiswa'!$N$27:$O$36,2,0),0))</f>
        <v>D</v>
      </c>
      <c r="K431" s="8" t="str">
        <f t="shared" si="20"/>
        <v>Tidak Eligible</v>
      </c>
    </row>
    <row r="432" spans="1:11" x14ac:dyDescent="0.3">
      <c r="A432" s="5">
        <v>431</v>
      </c>
      <c r="B432" s="5" t="s">
        <v>482</v>
      </c>
      <c r="C432" s="5" t="s">
        <v>1185</v>
      </c>
      <c r="D432" s="5" t="s">
        <v>780</v>
      </c>
      <c r="E432" s="6">
        <f t="shared" si="18"/>
        <v>2025</v>
      </c>
      <c r="F432" s="5" t="str">
        <f>INDEX('Data Mahasiswa'!$N$1:$Q$14, MATCH(MID('Data Status Pendaftar'!B432, 5,2), 'Data Mahasiswa'!$N$1:$N$14,0),2)</f>
        <v>Ilmu Sosial</v>
      </c>
      <c r="G432" s="5" t="str" cm="1">
        <f t="array" ref="G432">INDEX('Data Mahasiswa'!$Q$2:$Q$14, MATCH(MID('Data Status Pendaftar'!B432,5,3), 'Data Mahasiswa'!$N$2:$N$14&amp;TEXT('Data Mahasiswa'!$P$2:$P$14,"0"), 0))</f>
        <v>Administrasi Publik</v>
      </c>
      <c r="H432" s="6">
        <f t="shared" ca="1" si="19"/>
        <v>2</v>
      </c>
      <c r="I432" s="7">
        <f>INDEX('Data Mahasiswa'!$A$1:$J$701, MATCH('Data Status Pendaftar'!B432, 'Data Mahasiswa'!$A$1:$A$701, 0), 10)</f>
        <v>2.9375</v>
      </c>
      <c r="J432" s="5" t="str" cm="1">
        <f t="array" ref="J432">INDEX('Data Mahasiswa'!B432:I432,MATCH(MIN(VLOOKUP('Data Mahasiswa'!B432:I432,'Data Mahasiswa'!$N$27:$O$36,2,0)),VLOOKUP('Data Mahasiswa'!B432:I432,'Data Mahasiswa'!$N$27:$O$36,2,0),0))</f>
        <v>C</v>
      </c>
      <c r="K432" s="5" t="str">
        <f t="shared" si="20"/>
        <v>Eligible</v>
      </c>
    </row>
    <row r="433" spans="1:11" x14ac:dyDescent="0.3">
      <c r="A433" s="8">
        <v>432</v>
      </c>
      <c r="B433" s="8" t="s">
        <v>483</v>
      </c>
      <c r="C433" s="8" t="s">
        <v>1186</v>
      </c>
      <c r="D433" s="8" t="s">
        <v>779</v>
      </c>
      <c r="E433" s="9">
        <f t="shared" si="18"/>
        <v>2025</v>
      </c>
      <c r="F433" s="8" t="str">
        <f>INDEX('Data Mahasiswa'!$N$1:$Q$14, MATCH(MID('Data Status Pendaftar'!B433, 5,2), 'Data Mahasiswa'!$N$1:$N$14,0),2)</f>
        <v>Ilmu Sosial</v>
      </c>
      <c r="G433" s="8" t="str" cm="1">
        <f t="array" ref="G433">INDEX('Data Mahasiswa'!$Q$2:$Q$14, MATCH(MID('Data Status Pendaftar'!B433,5,3), 'Data Mahasiswa'!$N$2:$N$14&amp;TEXT('Data Mahasiswa'!$P$2:$P$14,"0"), 0))</f>
        <v>Administrasi Publik</v>
      </c>
      <c r="H433" s="9">
        <f t="shared" ca="1" si="19"/>
        <v>2</v>
      </c>
      <c r="I433" s="10">
        <f>INDEX('Data Mahasiswa'!$A$1:$J$701, MATCH('Data Status Pendaftar'!B433, 'Data Mahasiswa'!$A$1:$A$701, 0), 10)</f>
        <v>2.65625</v>
      </c>
      <c r="J433" s="8" t="str" cm="1">
        <f t="array" ref="J433">INDEX('Data Mahasiswa'!B433:I433,MATCH(MIN(VLOOKUP('Data Mahasiswa'!B433:I433,'Data Mahasiswa'!$N$27:$O$36,2,0)),VLOOKUP('Data Mahasiswa'!B433:I433,'Data Mahasiswa'!$N$27:$O$36,2,0),0))</f>
        <v>D</v>
      </c>
      <c r="K433" s="8" t="str">
        <f t="shared" si="20"/>
        <v>Tidak Eligible</v>
      </c>
    </row>
    <row r="434" spans="1:11" x14ac:dyDescent="0.3">
      <c r="A434" s="5">
        <v>433</v>
      </c>
      <c r="B434" s="5" t="s">
        <v>484</v>
      </c>
      <c r="C434" s="5" t="s">
        <v>1187</v>
      </c>
      <c r="D434" s="5" t="s">
        <v>780</v>
      </c>
      <c r="E434" s="6">
        <f t="shared" si="18"/>
        <v>2025</v>
      </c>
      <c r="F434" s="5" t="str">
        <f>INDEX('Data Mahasiswa'!$N$1:$Q$14, MATCH(MID('Data Status Pendaftar'!B434, 5,2), 'Data Mahasiswa'!$N$1:$N$14,0),2)</f>
        <v>Ilmu Sosial</v>
      </c>
      <c r="G434" s="5" t="str" cm="1">
        <f t="array" ref="G434">INDEX('Data Mahasiswa'!$Q$2:$Q$14, MATCH(MID('Data Status Pendaftar'!B434,5,3), 'Data Mahasiswa'!$N$2:$N$14&amp;TEXT('Data Mahasiswa'!$P$2:$P$14,"0"), 0))</f>
        <v>Administrasi Publik</v>
      </c>
      <c r="H434" s="6">
        <f t="shared" ca="1" si="19"/>
        <v>2</v>
      </c>
      <c r="I434" s="7">
        <f>INDEX('Data Mahasiswa'!$A$1:$J$701, MATCH('Data Status Pendaftar'!B434, 'Data Mahasiswa'!$A$1:$A$701, 0), 10)</f>
        <v>3.3541666666666665</v>
      </c>
      <c r="J434" s="5" t="str" cm="1">
        <f t="array" ref="J434">INDEX('Data Mahasiswa'!B434:I434,MATCH(MIN(VLOOKUP('Data Mahasiswa'!B434:I434,'Data Mahasiswa'!$N$27:$O$36,2,0)),VLOOKUP('Data Mahasiswa'!B434:I434,'Data Mahasiswa'!$N$27:$O$36,2,0),0))</f>
        <v>C+</v>
      </c>
      <c r="K434" s="5" t="str">
        <f t="shared" si="20"/>
        <v>Eligible</v>
      </c>
    </row>
    <row r="435" spans="1:11" x14ac:dyDescent="0.3">
      <c r="A435" s="8">
        <v>434</v>
      </c>
      <c r="B435" s="8" t="s">
        <v>485</v>
      </c>
      <c r="C435" s="8" t="s">
        <v>1188</v>
      </c>
      <c r="D435" s="8" t="s">
        <v>779</v>
      </c>
      <c r="E435" s="9">
        <f t="shared" si="18"/>
        <v>2025</v>
      </c>
      <c r="F435" s="8" t="str">
        <f>INDEX('Data Mahasiswa'!$N$1:$Q$14, MATCH(MID('Data Status Pendaftar'!B435, 5,2), 'Data Mahasiswa'!$N$1:$N$14,0),2)</f>
        <v>Ilmu Sosial</v>
      </c>
      <c r="G435" s="8" t="str" cm="1">
        <f t="array" ref="G435">INDEX('Data Mahasiswa'!$Q$2:$Q$14, MATCH(MID('Data Status Pendaftar'!B435,5,3), 'Data Mahasiswa'!$N$2:$N$14&amp;TEXT('Data Mahasiswa'!$P$2:$P$14,"0"), 0))</f>
        <v>Administrasi Publik</v>
      </c>
      <c r="H435" s="9">
        <f t="shared" ca="1" si="19"/>
        <v>2</v>
      </c>
      <c r="I435" s="10">
        <f>INDEX('Data Mahasiswa'!$A$1:$J$701, MATCH('Data Status Pendaftar'!B435, 'Data Mahasiswa'!$A$1:$A$701, 0), 10)</f>
        <v>3.0833333333333335</v>
      </c>
      <c r="J435" s="8" t="str" cm="1">
        <f t="array" ref="J435">INDEX('Data Mahasiswa'!B435:I435,MATCH(MIN(VLOOKUP('Data Mahasiswa'!B435:I435,'Data Mahasiswa'!$N$27:$O$36,2,0)),VLOOKUP('Data Mahasiswa'!B435:I435,'Data Mahasiswa'!$N$27:$O$36,2,0),0))</f>
        <v>C+</v>
      </c>
      <c r="K435" s="8" t="str">
        <f t="shared" si="20"/>
        <v>Eligible</v>
      </c>
    </row>
    <row r="436" spans="1:11" x14ac:dyDescent="0.3">
      <c r="A436" s="5">
        <v>435</v>
      </c>
      <c r="B436" s="5" t="s">
        <v>486</v>
      </c>
      <c r="C436" s="5" t="s">
        <v>1189</v>
      </c>
      <c r="D436" s="5" t="s">
        <v>780</v>
      </c>
      <c r="E436" s="6">
        <f t="shared" si="18"/>
        <v>2025</v>
      </c>
      <c r="F436" s="5" t="str">
        <f>INDEX('Data Mahasiswa'!$N$1:$Q$14, MATCH(MID('Data Status Pendaftar'!B436, 5,2), 'Data Mahasiswa'!$N$1:$N$14,0),2)</f>
        <v>Ilmu Sosial</v>
      </c>
      <c r="G436" s="5" t="str" cm="1">
        <f t="array" ref="G436">INDEX('Data Mahasiswa'!$Q$2:$Q$14, MATCH(MID('Data Status Pendaftar'!B436,5,3), 'Data Mahasiswa'!$N$2:$N$14&amp;TEXT('Data Mahasiswa'!$P$2:$P$14,"0"), 0))</f>
        <v>Administrasi Publik</v>
      </c>
      <c r="H436" s="6">
        <f t="shared" ca="1" si="19"/>
        <v>2</v>
      </c>
      <c r="I436" s="7">
        <f>INDEX('Data Mahasiswa'!$A$1:$J$701, MATCH('Data Status Pendaftar'!B436, 'Data Mahasiswa'!$A$1:$A$701, 0), 10)</f>
        <v>3.2083333333333335</v>
      </c>
      <c r="J436" s="5" t="str" cm="1">
        <f t="array" ref="J436">INDEX('Data Mahasiswa'!B436:I436,MATCH(MIN(VLOOKUP('Data Mahasiswa'!B436:I436,'Data Mahasiswa'!$N$27:$O$36,2,0)),VLOOKUP('Data Mahasiswa'!B436:I436,'Data Mahasiswa'!$N$27:$O$36,2,0),0))</f>
        <v>C+</v>
      </c>
      <c r="K436" s="5" t="str">
        <f t="shared" si="20"/>
        <v>Eligible</v>
      </c>
    </row>
    <row r="437" spans="1:11" x14ac:dyDescent="0.3">
      <c r="A437" s="8">
        <v>436</v>
      </c>
      <c r="B437" s="8" t="s">
        <v>487</v>
      </c>
      <c r="C437" s="8" t="s">
        <v>1190</v>
      </c>
      <c r="D437" s="8" t="s">
        <v>779</v>
      </c>
      <c r="E437" s="9">
        <f t="shared" si="18"/>
        <v>2025</v>
      </c>
      <c r="F437" s="8" t="str">
        <f>INDEX('Data Mahasiswa'!$N$1:$Q$14, MATCH(MID('Data Status Pendaftar'!B437, 5,2), 'Data Mahasiswa'!$N$1:$N$14,0),2)</f>
        <v>Ilmu Sosial</v>
      </c>
      <c r="G437" s="8" t="str" cm="1">
        <f t="array" ref="G437">INDEX('Data Mahasiswa'!$Q$2:$Q$14, MATCH(MID('Data Status Pendaftar'!B437,5,3), 'Data Mahasiswa'!$N$2:$N$14&amp;TEXT('Data Mahasiswa'!$P$2:$P$14,"0"), 0))</f>
        <v>Administrasi Publik</v>
      </c>
      <c r="H437" s="9">
        <f t="shared" ca="1" si="19"/>
        <v>2</v>
      </c>
      <c r="I437" s="10">
        <f>INDEX('Data Mahasiswa'!$A$1:$J$701, MATCH('Data Status Pendaftar'!B437, 'Data Mahasiswa'!$A$1:$A$701, 0), 10)</f>
        <v>3.1041666666666665</v>
      </c>
      <c r="J437" s="8" t="str" cm="1">
        <f t="array" ref="J437">INDEX('Data Mahasiswa'!B437:I437,MATCH(MIN(VLOOKUP('Data Mahasiswa'!B437:I437,'Data Mahasiswa'!$N$27:$O$36,2,0)),VLOOKUP('Data Mahasiswa'!B437:I437,'Data Mahasiswa'!$N$27:$O$36,2,0),0))</f>
        <v>D</v>
      </c>
      <c r="K437" s="8" t="str">
        <f t="shared" si="20"/>
        <v>Tidak Eligible</v>
      </c>
    </row>
    <row r="438" spans="1:11" x14ac:dyDescent="0.3">
      <c r="A438" s="5">
        <v>437</v>
      </c>
      <c r="B438" s="5" t="s">
        <v>488</v>
      </c>
      <c r="C438" s="5" t="s">
        <v>1191</v>
      </c>
      <c r="D438" s="5" t="s">
        <v>779</v>
      </c>
      <c r="E438" s="6">
        <f t="shared" si="18"/>
        <v>2025</v>
      </c>
      <c r="F438" s="5" t="str">
        <f>INDEX('Data Mahasiswa'!$N$1:$Q$14, MATCH(MID('Data Status Pendaftar'!B438, 5,2), 'Data Mahasiswa'!$N$1:$N$14,0),2)</f>
        <v>Ilmu Sosial</v>
      </c>
      <c r="G438" s="5" t="str" cm="1">
        <f t="array" ref="G438">INDEX('Data Mahasiswa'!$Q$2:$Q$14, MATCH(MID('Data Status Pendaftar'!B438,5,3), 'Data Mahasiswa'!$N$2:$N$14&amp;TEXT('Data Mahasiswa'!$P$2:$P$14,"0"), 0))</f>
        <v xml:space="preserve"> Ilmu Komunikasi</v>
      </c>
      <c r="H438" s="6">
        <f t="shared" ca="1" si="19"/>
        <v>2</v>
      </c>
      <c r="I438" s="7">
        <f>INDEX('Data Mahasiswa'!$A$1:$J$701, MATCH('Data Status Pendaftar'!B438, 'Data Mahasiswa'!$A$1:$A$701, 0), 10)</f>
        <v>2.625</v>
      </c>
      <c r="J438" s="5" t="str" cm="1">
        <f t="array" ref="J438">INDEX('Data Mahasiswa'!B438:I438,MATCH(MIN(VLOOKUP('Data Mahasiswa'!B438:I438,'Data Mahasiswa'!$N$27:$O$36,2,0)),VLOOKUP('Data Mahasiswa'!B438:I438,'Data Mahasiswa'!$N$27:$O$36,2,0),0))</f>
        <v>D</v>
      </c>
      <c r="K438" s="5" t="str">
        <f t="shared" si="20"/>
        <v>Tidak Eligible</v>
      </c>
    </row>
    <row r="439" spans="1:11" x14ac:dyDescent="0.3">
      <c r="A439" s="8">
        <v>438</v>
      </c>
      <c r="B439" s="8" t="s">
        <v>489</v>
      </c>
      <c r="C439" s="8" t="s">
        <v>1192</v>
      </c>
      <c r="D439" s="8" t="s">
        <v>780</v>
      </c>
      <c r="E439" s="9">
        <f t="shared" si="18"/>
        <v>2025</v>
      </c>
      <c r="F439" s="8" t="str">
        <f>INDEX('Data Mahasiswa'!$N$1:$Q$14, MATCH(MID('Data Status Pendaftar'!B439, 5,2), 'Data Mahasiswa'!$N$1:$N$14,0),2)</f>
        <v>Ilmu Sosial</v>
      </c>
      <c r="G439" s="8" t="str" cm="1">
        <f t="array" ref="G439">INDEX('Data Mahasiswa'!$Q$2:$Q$14, MATCH(MID('Data Status Pendaftar'!B439,5,3), 'Data Mahasiswa'!$N$2:$N$14&amp;TEXT('Data Mahasiswa'!$P$2:$P$14,"0"), 0))</f>
        <v xml:space="preserve"> Ilmu Komunikasi</v>
      </c>
      <c r="H439" s="9">
        <f t="shared" ca="1" si="19"/>
        <v>2</v>
      </c>
      <c r="I439" s="10">
        <f>INDEX('Data Mahasiswa'!$A$1:$J$701, MATCH('Data Status Pendaftar'!B439, 'Data Mahasiswa'!$A$1:$A$701, 0), 10)</f>
        <v>2.5208333333333335</v>
      </c>
      <c r="J439" s="8" t="str" cm="1">
        <f t="array" ref="J439">INDEX('Data Mahasiswa'!B439:I439,MATCH(MIN(VLOOKUP('Data Mahasiswa'!B439:I439,'Data Mahasiswa'!$N$27:$O$36,2,0)),VLOOKUP('Data Mahasiswa'!B439:I439,'Data Mahasiswa'!$N$27:$O$36,2,0),0))</f>
        <v>E</v>
      </c>
      <c r="K439" s="8" t="str">
        <f t="shared" si="20"/>
        <v>Tidak Eligible</v>
      </c>
    </row>
    <row r="440" spans="1:11" x14ac:dyDescent="0.3">
      <c r="A440" s="5">
        <v>439</v>
      </c>
      <c r="B440" s="5" t="s">
        <v>490</v>
      </c>
      <c r="C440" s="5" t="s">
        <v>1193</v>
      </c>
      <c r="D440" s="5" t="s">
        <v>780</v>
      </c>
      <c r="E440" s="6">
        <f t="shared" si="18"/>
        <v>2025</v>
      </c>
      <c r="F440" s="5" t="str">
        <f>INDEX('Data Mahasiswa'!$N$1:$Q$14, MATCH(MID('Data Status Pendaftar'!B440, 5,2), 'Data Mahasiswa'!$N$1:$N$14,0),2)</f>
        <v>Ilmu Sosial</v>
      </c>
      <c r="G440" s="5" t="str" cm="1">
        <f t="array" ref="G440">INDEX('Data Mahasiswa'!$Q$2:$Q$14, MATCH(MID('Data Status Pendaftar'!B440,5,3), 'Data Mahasiswa'!$N$2:$N$14&amp;TEXT('Data Mahasiswa'!$P$2:$P$14,"0"), 0))</f>
        <v xml:space="preserve"> Ilmu Komunikasi</v>
      </c>
      <c r="H440" s="6">
        <f t="shared" ca="1" si="19"/>
        <v>2</v>
      </c>
      <c r="I440" s="7">
        <f>INDEX('Data Mahasiswa'!$A$1:$J$701, MATCH('Data Status Pendaftar'!B440, 'Data Mahasiswa'!$A$1:$A$701, 0), 10)</f>
        <v>3</v>
      </c>
      <c r="J440" s="5" t="str" cm="1">
        <f t="array" ref="J440">INDEX('Data Mahasiswa'!B440:I440,MATCH(MIN(VLOOKUP('Data Mahasiswa'!B440:I440,'Data Mahasiswa'!$N$27:$O$36,2,0)),VLOOKUP('Data Mahasiswa'!B440:I440,'Data Mahasiswa'!$N$27:$O$36,2,0),0))</f>
        <v>C</v>
      </c>
      <c r="K440" s="5" t="str">
        <f t="shared" si="20"/>
        <v>Eligible</v>
      </c>
    </row>
    <row r="441" spans="1:11" x14ac:dyDescent="0.3">
      <c r="A441" s="8">
        <v>440</v>
      </c>
      <c r="B441" s="8" t="s">
        <v>491</v>
      </c>
      <c r="C441" s="8" t="s">
        <v>1194</v>
      </c>
      <c r="D441" s="8" t="s">
        <v>779</v>
      </c>
      <c r="E441" s="9">
        <f t="shared" si="18"/>
        <v>2025</v>
      </c>
      <c r="F441" s="8" t="str">
        <f>INDEX('Data Mahasiswa'!$N$1:$Q$14, MATCH(MID('Data Status Pendaftar'!B441, 5,2), 'Data Mahasiswa'!$N$1:$N$14,0),2)</f>
        <v>Ilmu Sosial</v>
      </c>
      <c r="G441" s="8" t="str" cm="1">
        <f t="array" ref="G441">INDEX('Data Mahasiswa'!$Q$2:$Q$14, MATCH(MID('Data Status Pendaftar'!B441,5,3), 'Data Mahasiswa'!$N$2:$N$14&amp;TEXT('Data Mahasiswa'!$P$2:$P$14,"0"), 0))</f>
        <v xml:space="preserve"> Ilmu Komunikasi</v>
      </c>
      <c r="H441" s="9">
        <f t="shared" ca="1" si="19"/>
        <v>2</v>
      </c>
      <c r="I441" s="10">
        <f>INDEX('Data Mahasiswa'!$A$1:$J$701, MATCH('Data Status Pendaftar'!B441, 'Data Mahasiswa'!$A$1:$A$701, 0), 10)</f>
        <v>2.6145833333333335</v>
      </c>
      <c r="J441" s="8" t="str" cm="1">
        <f t="array" ref="J441">INDEX('Data Mahasiswa'!B441:I441,MATCH(MIN(VLOOKUP('Data Mahasiswa'!B441:I441,'Data Mahasiswa'!$N$27:$O$36,2,0)),VLOOKUP('Data Mahasiswa'!B441:I441,'Data Mahasiswa'!$N$27:$O$36,2,0),0))</f>
        <v>D</v>
      </c>
      <c r="K441" s="8" t="str">
        <f t="shared" si="20"/>
        <v>Tidak Eligible</v>
      </c>
    </row>
    <row r="442" spans="1:11" x14ac:dyDescent="0.3">
      <c r="A442" s="5">
        <v>441</v>
      </c>
      <c r="B442" s="5" t="s">
        <v>492</v>
      </c>
      <c r="C442" s="5" t="s">
        <v>1195</v>
      </c>
      <c r="D442" s="5" t="s">
        <v>779</v>
      </c>
      <c r="E442" s="6">
        <f t="shared" si="18"/>
        <v>2025</v>
      </c>
      <c r="F442" s="5" t="str">
        <f>INDEX('Data Mahasiswa'!$N$1:$Q$14, MATCH(MID('Data Status Pendaftar'!B442, 5,2), 'Data Mahasiswa'!$N$1:$N$14,0),2)</f>
        <v>Ilmu Sosial</v>
      </c>
      <c r="G442" s="5" t="str" cm="1">
        <f t="array" ref="G442">INDEX('Data Mahasiswa'!$Q$2:$Q$14, MATCH(MID('Data Status Pendaftar'!B442,5,3), 'Data Mahasiswa'!$N$2:$N$14&amp;TEXT('Data Mahasiswa'!$P$2:$P$14,"0"), 0))</f>
        <v xml:space="preserve"> Ilmu Komunikasi</v>
      </c>
      <c r="H442" s="6">
        <f t="shared" ca="1" si="19"/>
        <v>2</v>
      </c>
      <c r="I442" s="7">
        <f>INDEX('Data Mahasiswa'!$A$1:$J$701, MATCH('Data Status Pendaftar'!B442, 'Data Mahasiswa'!$A$1:$A$701, 0), 10)</f>
        <v>2.9375</v>
      </c>
      <c r="J442" s="5" t="str" cm="1">
        <f t="array" ref="J442">INDEX('Data Mahasiswa'!B442:I442,MATCH(MIN(VLOOKUP('Data Mahasiswa'!B442:I442,'Data Mahasiswa'!$N$27:$O$36,2,0)),VLOOKUP('Data Mahasiswa'!B442:I442,'Data Mahasiswa'!$N$27:$O$36,2,0),0))</f>
        <v>C</v>
      </c>
      <c r="K442" s="5" t="str">
        <f t="shared" si="20"/>
        <v>Eligible</v>
      </c>
    </row>
    <row r="443" spans="1:11" x14ac:dyDescent="0.3">
      <c r="A443" s="8">
        <v>442</v>
      </c>
      <c r="B443" s="8" t="s">
        <v>493</v>
      </c>
      <c r="C443" s="8" t="s">
        <v>1196</v>
      </c>
      <c r="D443" s="8" t="s">
        <v>780</v>
      </c>
      <c r="E443" s="9">
        <f t="shared" si="18"/>
        <v>2025</v>
      </c>
      <c r="F443" s="8" t="str">
        <f>INDEX('Data Mahasiswa'!$N$1:$Q$14, MATCH(MID('Data Status Pendaftar'!B443, 5,2), 'Data Mahasiswa'!$N$1:$N$14,0),2)</f>
        <v>Ilmu Sosial</v>
      </c>
      <c r="G443" s="8" t="str" cm="1">
        <f t="array" ref="G443">INDEX('Data Mahasiswa'!$Q$2:$Q$14, MATCH(MID('Data Status Pendaftar'!B443,5,3), 'Data Mahasiswa'!$N$2:$N$14&amp;TEXT('Data Mahasiswa'!$P$2:$P$14,"0"), 0))</f>
        <v xml:space="preserve"> Ilmu Komunikasi</v>
      </c>
      <c r="H443" s="9">
        <f t="shared" ca="1" si="19"/>
        <v>2</v>
      </c>
      <c r="I443" s="10">
        <f>INDEX('Data Mahasiswa'!$A$1:$J$701, MATCH('Data Status Pendaftar'!B443, 'Data Mahasiswa'!$A$1:$A$701, 0), 10)</f>
        <v>2.5625</v>
      </c>
      <c r="J443" s="8" t="str" cm="1">
        <f t="array" ref="J443">INDEX('Data Mahasiswa'!B443:I443,MATCH(MIN(VLOOKUP('Data Mahasiswa'!B443:I443,'Data Mahasiswa'!$N$27:$O$36,2,0)),VLOOKUP('Data Mahasiswa'!B443:I443,'Data Mahasiswa'!$N$27:$O$36,2,0),0))</f>
        <v>E</v>
      </c>
      <c r="K443" s="8" t="str">
        <f t="shared" si="20"/>
        <v>Tidak Eligible</v>
      </c>
    </row>
    <row r="444" spans="1:11" x14ac:dyDescent="0.3">
      <c r="A444" s="5">
        <v>443</v>
      </c>
      <c r="B444" s="5" t="s">
        <v>494</v>
      </c>
      <c r="C444" s="5" t="s">
        <v>1197</v>
      </c>
      <c r="D444" s="5" t="s">
        <v>780</v>
      </c>
      <c r="E444" s="6">
        <f t="shared" si="18"/>
        <v>2025</v>
      </c>
      <c r="F444" s="5" t="str">
        <f>INDEX('Data Mahasiswa'!$N$1:$Q$14, MATCH(MID('Data Status Pendaftar'!B444, 5,2), 'Data Mahasiswa'!$N$1:$N$14,0),2)</f>
        <v>Ilmu Sosial</v>
      </c>
      <c r="G444" s="5" t="str" cm="1">
        <f t="array" ref="G444">INDEX('Data Mahasiswa'!$Q$2:$Q$14, MATCH(MID('Data Status Pendaftar'!B444,5,3), 'Data Mahasiswa'!$N$2:$N$14&amp;TEXT('Data Mahasiswa'!$P$2:$P$14,"0"), 0))</f>
        <v xml:space="preserve"> Ilmu Komunikasi</v>
      </c>
      <c r="H444" s="6">
        <f t="shared" ca="1" si="19"/>
        <v>2</v>
      </c>
      <c r="I444" s="7">
        <f>INDEX('Data Mahasiswa'!$A$1:$J$701, MATCH('Data Status Pendaftar'!B444, 'Data Mahasiswa'!$A$1:$A$701, 0), 10)</f>
        <v>2.6041666666666665</v>
      </c>
      <c r="J444" s="5" t="str" cm="1">
        <f t="array" ref="J444">INDEX('Data Mahasiswa'!B444:I444,MATCH(MIN(VLOOKUP('Data Mahasiswa'!B444:I444,'Data Mahasiswa'!$N$27:$O$36,2,0)),VLOOKUP('Data Mahasiswa'!B444:I444,'Data Mahasiswa'!$N$27:$O$36,2,0),0))</f>
        <v>D</v>
      </c>
      <c r="K444" s="5" t="str">
        <f t="shared" si="20"/>
        <v>Tidak Eligible</v>
      </c>
    </row>
    <row r="445" spans="1:11" x14ac:dyDescent="0.3">
      <c r="A445" s="8">
        <v>444</v>
      </c>
      <c r="B445" s="8" t="s">
        <v>495</v>
      </c>
      <c r="C445" s="8" t="s">
        <v>1198</v>
      </c>
      <c r="D445" s="8" t="s">
        <v>780</v>
      </c>
      <c r="E445" s="9">
        <f t="shared" si="18"/>
        <v>2025</v>
      </c>
      <c r="F445" s="8" t="str">
        <f>INDEX('Data Mahasiswa'!$N$1:$Q$14, MATCH(MID('Data Status Pendaftar'!B445, 5,2), 'Data Mahasiswa'!$N$1:$N$14,0),2)</f>
        <v>Ilmu Sosial</v>
      </c>
      <c r="G445" s="8" t="str" cm="1">
        <f t="array" ref="G445">INDEX('Data Mahasiswa'!$Q$2:$Q$14, MATCH(MID('Data Status Pendaftar'!B445,5,3), 'Data Mahasiswa'!$N$2:$N$14&amp;TEXT('Data Mahasiswa'!$P$2:$P$14,"0"), 0))</f>
        <v xml:space="preserve"> Ilmu Komunikasi</v>
      </c>
      <c r="H445" s="9">
        <f t="shared" ca="1" si="19"/>
        <v>2</v>
      </c>
      <c r="I445" s="10">
        <f>INDEX('Data Mahasiswa'!$A$1:$J$701, MATCH('Data Status Pendaftar'!B445, 'Data Mahasiswa'!$A$1:$A$701, 0), 10)</f>
        <v>3.40625</v>
      </c>
      <c r="J445" s="8" t="str" cm="1">
        <f t="array" ref="J445">INDEX('Data Mahasiswa'!B445:I445,MATCH(MIN(VLOOKUP('Data Mahasiswa'!B445:I445,'Data Mahasiswa'!$N$27:$O$36,2,0)),VLOOKUP('Data Mahasiswa'!B445:I445,'Data Mahasiswa'!$N$27:$O$36,2,0),0))</f>
        <v>B-</v>
      </c>
      <c r="K445" s="8" t="str">
        <f t="shared" si="20"/>
        <v>Eligible</v>
      </c>
    </row>
    <row r="446" spans="1:11" x14ac:dyDescent="0.3">
      <c r="A446" s="5">
        <v>445</v>
      </c>
      <c r="B446" s="5" t="s">
        <v>496</v>
      </c>
      <c r="C446" s="5" t="s">
        <v>1199</v>
      </c>
      <c r="D446" s="5" t="s">
        <v>780</v>
      </c>
      <c r="E446" s="6">
        <f t="shared" si="18"/>
        <v>2025</v>
      </c>
      <c r="F446" s="5" t="str">
        <f>INDEX('Data Mahasiswa'!$N$1:$Q$14, MATCH(MID('Data Status Pendaftar'!B446, 5,2), 'Data Mahasiswa'!$N$1:$N$14,0),2)</f>
        <v>Ilmu Sosial</v>
      </c>
      <c r="G446" s="5" t="str" cm="1">
        <f t="array" ref="G446">INDEX('Data Mahasiswa'!$Q$2:$Q$14, MATCH(MID('Data Status Pendaftar'!B446,5,3), 'Data Mahasiswa'!$N$2:$N$14&amp;TEXT('Data Mahasiswa'!$P$2:$P$14,"0"), 0))</f>
        <v xml:space="preserve"> Ilmu Komunikasi</v>
      </c>
      <c r="H446" s="6">
        <f t="shared" ca="1" si="19"/>
        <v>2</v>
      </c>
      <c r="I446" s="7">
        <f>INDEX('Data Mahasiswa'!$A$1:$J$701, MATCH('Data Status Pendaftar'!B446, 'Data Mahasiswa'!$A$1:$A$701, 0), 10)</f>
        <v>2.7291666666666665</v>
      </c>
      <c r="J446" s="5" t="str" cm="1">
        <f t="array" ref="J446">INDEX('Data Mahasiswa'!B446:I446,MATCH(MIN(VLOOKUP('Data Mahasiswa'!B446:I446,'Data Mahasiswa'!$N$27:$O$36,2,0)),VLOOKUP('Data Mahasiswa'!B446:I446,'Data Mahasiswa'!$N$27:$O$36,2,0),0))</f>
        <v>E</v>
      </c>
      <c r="K446" s="5" t="str">
        <f t="shared" si="20"/>
        <v>Tidak Eligible</v>
      </c>
    </row>
    <row r="447" spans="1:11" x14ac:dyDescent="0.3">
      <c r="A447" s="8">
        <v>446</v>
      </c>
      <c r="B447" s="8" t="s">
        <v>497</v>
      </c>
      <c r="C447" s="8" t="s">
        <v>1200</v>
      </c>
      <c r="D447" s="8" t="s">
        <v>780</v>
      </c>
      <c r="E447" s="9">
        <f t="shared" si="18"/>
        <v>2025</v>
      </c>
      <c r="F447" s="8" t="str">
        <f>INDEX('Data Mahasiswa'!$N$1:$Q$14, MATCH(MID('Data Status Pendaftar'!B447, 5,2), 'Data Mahasiswa'!$N$1:$N$14,0),2)</f>
        <v>Ilmu Sosial</v>
      </c>
      <c r="G447" s="8" t="str" cm="1">
        <f t="array" ref="G447">INDEX('Data Mahasiswa'!$Q$2:$Q$14, MATCH(MID('Data Status Pendaftar'!B447,5,3), 'Data Mahasiswa'!$N$2:$N$14&amp;TEXT('Data Mahasiswa'!$P$2:$P$14,"0"), 0))</f>
        <v xml:space="preserve"> Ilmu Komunikasi</v>
      </c>
      <c r="H447" s="9">
        <f t="shared" ca="1" si="19"/>
        <v>2</v>
      </c>
      <c r="I447" s="10">
        <f>INDEX('Data Mahasiswa'!$A$1:$J$701, MATCH('Data Status Pendaftar'!B447, 'Data Mahasiswa'!$A$1:$A$701, 0), 10)</f>
        <v>2.7395833333333335</v>
      </c>
      <c r="J447" s="8" t="str" cm="1">
        <f t="array" ref="J447">INDEX('Data Mahasiswa'!B447:I447,MATCH(MIN(VLOOKUP('Data Mahasiswa'!B447:I447,'Data Mahasiswa'!$N$27:$O$36,2,0)),VLOOKUP('Data Mahasiswa'!B447:I447,'Data Mahasiswa'!$N$27:$O$36,2,0),0))</f>
        <v>D</v>
      </c>
      <c r="K447" s="8" t="str">
        <f t="shared" si="20"/>
        <v>Tidak Eligible</v>
      </c>
    </row>
    <row r="448" spans="1:11" x14ac:dyDescent="0.3">
      <c r="A448" s="5">
        <v>447</v>
      </c>
      <c r="B448" s="5" t="s">
        <v>498</v>
      </c>
      <c r="C448" s="5" t="s">
        <v>1201</v>
      </c>
      <c r="D448" s="5" t="s">
        <v>780</v>
      </c>
      <c r="E448" s="6">
        <f t="shared" si="18"/>
        <v>2025</v>
      </c>
      <c r="F448" s="5" t="str">
        <f>INDEX('Data Mahasiswa'!$N$1:$Q$14, MATCH(MID('Data Status Pendaftar'!B448, 5,2), 'Data Mahasiswa'!$N$1:$N$14,0),2)</f>
        <v>Ilmu Sosial</v>
      </c>
      <c r="G448" s="5" t="str" cm="1">
        <f t="array" ref="G448">INDEX('Data Mahasiswa'!$Q$2:$Q$14, MATCH(MID('Data Status Pendaftar'!B448,5,3), 'Data Mahasiswa'!$N$2:$N$14&amp;TEXT('Data Mahasiswa'!$P$2:$P$14,"0"), 0))</f>
        <v xml:space="preserve"> Ilmu Komunikasi</v>
      </c>
      <c r="H448" s="6">
        <f t="shared" ca="1" si="19"/>
        <v>2</v>
      </c>
      <c r="I448" s="7">
        <f>INDEX('Data Mahasiswa'!$A$1:$J$701, MATCH('Data Status Pendaftar'!B448, 'Data Mahasiswa'!$A$1:$A$701, 0), 10)</f>
        <v>3.15625</v>
      </c>
      <c r="J448" s="5" t="str" cm="1">
        <f t="array" ref="J448">INDEX('Data Mahasiswa'!B448:I448,MATCH(MIN(VLOOKUP('Data Mahasiswa'!B448:I448,'Data Mahasiswa'!$N$27:$O$36,2,0)),VLOOKUP('Data Mahasiswa'!B448:I448,'Data Mahasiswa'!$N$27:$O$36,2,0),0))</f>
        <v>C</v>
      </c>
      <c r="K448" s="5" t="str">
        <f t="shared" si="20"/>
        <v>Eligible</v>
      </c>
    </row>
    <row r="449" spans="1:11" x14ac:dyDescent="0.3">
      <c r="A449" s="8">
        <v>448</v>
      </c>
      <c r="B449" s="8" t="s">
        <v>499</v>
      </c>
      <c r="C449" s="8" t="s">
        <v>1202</v>
      </c>
      <c r="D449" s="8" t="s">
        <v>780</v>
      </c>
      <c r="E449" s="9">
        <f t="shared" si="18"/>
        <v>2025</v>
      </c>
      <c r="F449" s="8" t="str">
        <f>INDEX('Data Mahasiswa'!$N$1:$Q$14, MATCH(MID('Data Status Pendaftar'!B449, 5,2), 'Data Mahasiswa'!$N$1:$N$14,0),2)</f>
        <v>Ilmu Sosial</v>
      </c>
      <c r="G449" s="8" t="str" cm="1">
        <f t="array" ref="G449">INDEX('Data Mahasiswa'!$Q$2:$Q$14, MATCH(MID('Data Status Pendaftar'!B449,5,3), 'Data Mahasiswa'!$N$2:$N$14&amp;TEXT('Data Mahasiswa'!$P$2:$P$14,"0"), 0))</f>
        <v xml:space="preserve"> Ilmu Komunikasi</v>
      </c>
      <c r="H449" s="9">
        <f t="shared" ca="1" si="19"/>
        <v>2</v>
      </c>
      <c r="I449" s="10">
        <f>INDEX('Data Mahasiswa'!$A$1:$J$701, MATCH('Data Status Pendaftar'!B449, 'Data Mahasiswa'!$A$1:$A$701, 0), 10)</f>
        <v>3.21875</v>
      </c>
      <c r="J449" s="8" t="str" cm="1">
        <f t="array" ref="J449">INDEX('Data Mahasiswa'!B449:I449,MATCH(MIN(VLOOKUP('Data Mahasiswa'!B449:I449,'Data Mahasiswa'!$N$27:$O$36,2,0)),VLOOKUP('Data Mahasiswa'!B449:I449,'Data Mahasiswa'!$N$27:$O$36,2,0),0))</f>
        <v>D</v>
      </c>
      <c r="K449" s="8" t="str">
        <f t="shared" si="20"/>
        <v>Tidak Eligible</v>
      </c>
    </row>
    <row r="450" spans="1:11" x14ac:dyDescent="0.3">
      <c r="A450" s="5">
        <v>449</v>
      </c>
      <c r="B450" s="5" t="s">
        <v>500</v>
      </c>
      <c r="C450" s="5" t="s">
        <v>1203</v>
      </c>
      <c r="D450" s="5" t="s">
        <v>779</v>
      </c>
      <c r="E450" s="6">
        <f t="shared" si="18"/>
        <v>2025</v>
      </c>
      <c r="F450" s="5" t="str">
        <f>INDEX('Data Mahasiswa'!$N$1:$Q$14, MATCH(MID('Data Status Pendaftar'!B450, 5,2), 'Data Mahasiswa'!$N$1:$N$14,0),2)</f>
        <v>Ilmu Sosial</v>
      </c>
      <c r="G450" s="5" t="str" cm="1">
        <f t="array" ref="G450">INDEX('Data Mahasiswa'!$Q$2:$Q$14, MATCH(MID('Data Status Pendaftar'!B450,5,3), 'Data Mahasiswa'!$N$2:$N$14&amp;TEXT('Data Mahasiswa'!$P$2:$P$14,"0"), 0))</f>
        <v xml:space="preserve"> Ilmu Komunikasi</v>
      </c>
      <c r="H450" s="6">
        <f t="shared" ca="1" si="19"/>
        <v>2</v>
      </c>
      <c r="I450" s="7">
        <f>INDEX('Data Mahasiswa'!$A$1:$J$701, MATCH('Data Status Pendaftar'!B450, 'Data Mahasiswa'!$A$1:$A$701, 0), 10)</f>
        <v>3.1875</v>
      </c>
      <c r="J450" s="5" t="str" cm="1">
        <f t="array" ref="J450">INDEX('Data Mahasiswa'!B450:I450,MATCH(MIN(VLOOKUP('Data Mahasiswa'!B450:I450,'Data Mahasiswa'!$N$27:$O$36,2,0)),VLOOKUP('Data Mahasiswa'!B450:I450,'Data Mahasiswa'!$N$27:$O$36,2,0),0))</f>
        <v>D</v>
      </c>
      <c r="K450" s="5" t="str">
        <f t="shared" si="20"/>
        <v>Tidak Eligible</v>
      </c>
    </row>
    <row r="451" spans="1:11" x14ac:dyDescent="0.3">
      <c r="A451" s="8">
        <v>450</v>
      </c>
      <c r="B451" s="8" t="s">
        <v>501</v>
      </c>
      <c r="C451" s="8" t="s">
        <v>1204</v>
      </c>
      <c r="D451" s="8" t="s">
        <v>779</v>
      </c>
      <c r="E451" s="9">
        <f t="shared" ref="E451:E514" si="21">LEFT(B451,2)+2000</f>
        <v>2025</v>
      </c>
      <c r="F451" s="8" t="str">
        <f>INDEX('Data Mahasiswa'!$N$1:$Q$14, MATCH(MID('Data Status Pendaftar'!B451, 5,2), 'Data Mahasiswa'!$N$1:$N$14,0),2)</f>
        <v>Ilmu Sosial</v>
      </c>
      <c r="G451" s="8" t="str" cm="1">
        <f t="array" ref="G451">INDEX('Data Mahasiswa'!$Q$2:$Q$14, MATCH(MID('Data Status Pendaftar'!B451,5,3), 'Data Mahasiswa'!$N$2:$N$14&amp;TEXT('Data Mahasiswa'!$P$2:$P$14,"0"), 0))</f>
        <v xml:space="preserve"> Ilmu Komunikasi</v>
      </c>
      <c r="H451" s="9">
        <f t="shared" ref="H451:H514" ca="1" si="22">(YEAR(TODAY())-E451)*2</f>
        <v>2</v>
      </c>
      <c r="I451" s="10">
        <f>INDEX('Data Mahasiswa'!$A$1:$J$701, MATCH('Data Status Pendaftar'!B451, 'Data Mahasiswa'!$A$1:$A$701, 0), 10)</f>
        <v>2.5729166666666665</v>
      </c>
      <c r="J451" s="8" t="str" cm="1">
        <f t="array" ref="J451">INDEX('Data Mahasiswa'!B451:I451,MATCH(MIN(VLOOKUP('Data Mahasiswa'!B451:I451,'Data Mahasiswa'!$N$27:$O$36,2,0)),VLOOKUP('Data Mahasiswa'!B451:I451,'Data Mahasiswa'!$N$27:$O$36,2,0),0))</f>
        <v>D</v>
      </c>
      <c r="K451" s="8" t="str">
        <f t="shared" ref="K451:K514" si="23">IF(AND(E451=2025,I451&gt;=2.75,OR(J451="A",J451="A-",J451="B+",J451="B",J451="B-",J451="C+",J451="C",J451="C-")),"Eligible","Tidak Eligible")</f>
        <v>Tidak Eligible</v>
      </c>
    </row>
    <row r="452" spans="1:11" x14ac:dyDescent="0.3">
      <c r="A452" s="5">
        <v>451</v>
      </c>
      <c r="B452" s="5" t="s">
        <v>502</v>
      </c>
      <c r="C452" s="5" t="s">
        <v>1205</v>
      </c>
      <c r="D452" s="5" t="s">
        <v>780</v>
      </c>
      <c r="E452" s="6">
        <f t="shared" si="21"/>
        <v>2025</v>
      </c>
      <c r="F452" s="5" t="str">
        <f>INDEX('Data Mahasiswa'!$N$1:$Q$14, MATCH(MID('Data Status Pendaftar'!B452, 5,2), 'Data Mahasiswa'!$N$1:$N$14,0),2)</f>
        <v>Ilmu Sosial</v>
      </c>
      <c r="G452" s="5" t="str" cm="1">
        <f t="array" ref="G452">INDEX('Data Mahasiswa'!$Q$2:$Q$14, MATCH(MID('Data Status Pendaftar'!B452,5,3), 'Data Mahasiswa'!$N$2:$N$14&amp;TEXT('Data Mahasiswa'!$P$2:$P$14,"0"), 0))</f>
        <v xml:space="preserve"> Ilmu Komunikasi</v>
      </c>
      <c r="H452" s="6">
        <f t="shared" ca="1" si="22"/>
        <v>2</v>
      </c>
      <c r="I452" s="7">
        <f>INDEX('Data Mahasiswa'!$A$1:$J$701, MATCH('Data Status Pendaftar'!B452, 'Data Mahasiswa'!$A$1:$A$701, 0), 10)</f>
        <v>3.2083333333333335</v>
      </c>
      <c r="J452" s="5" t="str" cm="1">
        <f t="array" ref="J452">INDEX('Data Mahasiswa'!B452:I452,MATCH(MIN(VLOOKUP('Data Mahasiswa'!B452:I452,'Data Mahasiswa'!$N$27:$O$36,2,0)),VLOOKUP('Data Mahasiswa'!B452:I452,'Data Mahasiswa'!$N$27:$O$36,2,0),0))</f>
        <v>C+</v>
      </c>
      <c r="K452" s="5" t="str">
        <f t="shared" si="23"/>
        <v>Eligible</v>
      </c>
    </row>
    <row r="453" spans="1:11" x14ac:dyDescent="0.3">
      <c r="A453" s="8">
        <v>452</v>
      </c>
      <c r="B453" s="8" t="s">
        <v>503</v>
      </c>
      <c r="C453" s="8" t="s">
        <v>1206</v>
      </c>
      <c r="D453" s="8" t="s">
        <v>779</v>
      </c>
      <c r="E453" s="9">
        <f t="shared" si="21"/>
        <v>2025</v>
      </c>
      <c r="F453" s="8" t="str">
        <f>INDEX('Data Mahasiswa'!$N$1:$Q$14, MATCH(MID('Data Status Pendaftar'!B453, 5,2), 'Data Mahasiswa'!$N$1:$N$14,0),2)</f>
        <v>Ilmu Sosial</v>
      </c>
      <c r="G453" s="8" t="str" cm="1">
        <f t="array" ref="G453">INDEX('Data Mahasiswa'!$Q$2:$Q$14, MATCH(MID('Data Status Pendaftar'!B453,5,3), 'Data Mahasiswa'!$N$2:$N$14&amp;TEXT('Data Mahasiswa'!$P$2:$P$14,"0"), 0))</f>
        <v xml:space="preserve"> Ilmu Komunikasi</v>
      </c>
      <c r="H453" s="9">
        <f t="shared" ca="1" si="22"/>
        <v>2</v>
      </c>
      <c r="I453" s="10">
        <f>INDEX('Data Mahasiswa'!$A$1:$J$701, MATCH('Data Status Pendaftar'!B453, 'Data Mahasiswa'!$A$1:$A$701, 0), 10)</f>
        <v>3.15625</v>
      </c>
      <c r="J453" s="8" t="str" cm="1">
        <f t="array" ref="J453">INDEX('Data Mahasiswa'!B453:I453,MATCH(MIN(VLOOKUP('Data Mahasiswa'!B453:I453,'Data Mahasiswa'!$N$27:$O$36,2,0)),VLOOKUP('Data Mahasiswa'!B453:I453,'Data Mahasiswa'!$N$27:$O$36,2,0),0))</f>
        <v>C</v>
      </c>
      <c r="K453" s="8" t="str">
        <f t="shared" si="23"/>
        <v>Eligible</v>
      </c>
    </row>
    <row r="454" spans="1:11" x14ac:dyDescent="0.3">
      <c r="A454" s="5">
        <v>453</v>
      </c>
      <c r="B454" s="5" t="s">
        <v>504</v>
      </c>
      <c r="C454" s="5" t="s">
        <v>1207</v>
      </c>
      <c r="D454" s="5" t="s">
        <v>780</v>
      </c>
      <c r="E454" s="6">
        <f t="shared" si="21"/>
        <v>2025</v>
      </c>
      <c r="F454" s="5" t="str">
        <f>INDEX('Data Mahasiswa'!$N$1:$Q$14, MATCH(MID('Data Status Pendaftar'!B454, 5,2), 'Data Mahasiswa'!$N$1:$N$14,0),2)</f>
        <v>Ilmu Sosial</v>
      </c>
      <c r="G454" s="5" t="str" cm="1">
        <f t="array" ref="G454">INDEX('Data Mahasiswa'!$Q$2:$Q$14, MATCH(MID('Data Status Pendaftar'!B454,5,3), 'Data Mahasiswa'!$N$2:$N$14&amp;TEXT('Data Mahasiswa'!$P$2:$P$14,"0"), 0))</f>
        <v xml:space="preserve"> Ilmu Komunikasi</v>
      </c>
      <c r="H454" s="6">
        <f t="shared" ca="1" si="22"/>
        <v>2</v>
      </c>
      <c r="I454" s="7">
        <f>INDEX('Data Mahasiswa'!$A$1:$J$701, MATCH('Data Status Pendaftar'!B454, 'Data Mahasiswa'!$A$1:$A$701, 0), 10)</f>
        <v>2.9583333333333335</v>
      </c>
      <c r="J454" s="5" t="str" cm="1">
        <f t="array" ref="J454">INDEX('Data Mahasiswa'!B454:I454,MATCH(MIN(VLOOKUP('Data Mahasiswa'!B454:I454,'Data Mahasiswa'!$N$27:$O$36,2,0)),VLOOKUP('Data Mahasiswa'!B454:I454,'Data Mahasiswa'!$N$27:$O$36,2,0),0))</f>
        <v>D</v>
      </c>
      <c r="K454" s="5" t="str">
        <f t="shared" si="23"/>
        <v>Tidak Eligible</v>
      </c>
    </row>
    <row r="455" spans="1:11" x14ac:dyDescent="0.3">
      <c r="A455" s="8">
        <v>454</v>
      </c>
      <c r="B455" s="8" t="s">
        <v>505</v>
      </c>
      <c r="C455" s="8" t="s">
        <v>1208</v>
      </c>
      <c r="D455" s="8" t="s">
        <v>780</v>
      </c>
      <c r="E455" s="9">
        <f t="shared" si="21"/>
        <v>2025</v>
      </c>
      <c r="F455" s="8" t="str">
        <f>INDEX('Data Mahasiswa'!$N$1:$Q$14, MATCH(MID('Data Status Pendaftar'!B455, 5,2), 'Data Mahasiswa'!$N$1:$N$14,0),2)</f>
        <v>Ilmu Sosial</v>
      </c>
      <c r="G455" s="8" t="str" cm="1">
        <f t="array" ref="G455">INDEX('Data Mahasiswa'!$Q$2:$Q$14, MATCH(MID('Data Status Pendaftar'!B455,5,3), 'Data Mahasiswa'!$N$2:$N$14&amp;TEXT('Data Mahasiswa'!$P$2:$P$14,"0"), 0))</f>
        <v xml:space="preserve"> Ilmu Komunikasi</v>
      </c>
      <c r="H455" s="9">
        <f t="shared" ca="1" si="22"/>
        <v>2</v>
      </c>
      <c r="I455" s="10">
        <f>INDEX('Data Mahasiswa'!$A$1:$J$701, MATCH('Data Status Pendaftar'!B455, 'Data Mahasiswa'!$A$1:$A$701, 0), 10)</f>
        <v>2.6145833333333335</v>
      </c>
      <c r="J455" s="8" t="str" cm="1">
        <f t="array" ref="J455">INDEX('Data Mahasiswa'!B455:I455,MATCH(MIN(VLOOKUP('Data Mahasiswa'!B455:I455,'Data Mahasiswa'!$N$27:$O$36,2,0)),VLOOKUP('Data Mahasiswa'!B455:I455,'Data Mahasiswa'!$N$27:$O$36,2,0),0))</f>
        <v>D</v>
      </c>
      <c r="K455" s="8" t="str">
        <f t="shared" si="23"/>
        <v>Tidak Eligible</v>
      </c>
    </row>
    <row r="456" spans="1:11" x14ac:dyDescent="0.3">
      <c r="A456" s="5">
        <v>455</v>
      </c>
      <c r="B456" s="5" t="s">
        <v>506</v>
      </c>
      <c r="C456" s="5" t="s">
        <v>975</v>
      </c>
      <c r="D456" s="5" t="s">
        <v>779</v>
      </c>
      <c r="E456" s="6">
        <f t="shared" si="21"/>
        <v>2025</v>
      </c>
      <c r="F456" s="5" t="str">
        <f>INDEX('Data Mahasiswa'!$N$1:$Q$14, MATCH(MID('Data Status Pendaftar'!B456, 5,2), 'Data Mahasiswa'!$N$1:$N$14,0),2)</f>
        <v>Ilmu Sosial</v>
      </c>
      <c r="G456" s="5" t="str" cm="1">
        <f t="array" ref="G456">INDEX('Data Mahasiswa'!$Q$2:$Q$14, MATCH(MID('Data Status Pendaftar'!B456,5,3), 'Data Mahasiswa'!$N$2:$N$14&amp;TEXT('Data Mahasiswa'!$P$2:$P$14,"0"), 0))</f>
        <v xml:space="preserve"> Ilmu Komunikasi</v>
      </c>
      <c r="H456" s="6">
        <f t="shared" ca="1" si="22"/>
        <v>2</v>
      </c>
      <c r="I456" s="7">
        <f>INDEX('Data Mahasiswa'!$A$1:$J$701, MATCH('Data Status Pendaftar'!B456, 'Data Mahasiswa'!$A$1:$A$701, 0), 10)</f>
        <v>2.8958333333333335</v>
      </c>
      <c r="J456" s="5" t="str" cm="1">
        <f t="array" ref="J456">INDEX('Data Mahasiswa'!B456:I456,MATCH(MIN(VLOOKUP('Data Mahasiswa'!B456:I456,'Data Mahasiswa'!$N$27:$O$36,2,0)),VLOOKUP('Data Mahasiswa'!B456:I456,'Data Mahasiswa'!$N$27:$O$36,2,0),0))</f>
        <v>D</v>
      </c>
      <c r="K456" s="5" t="str">
        <f t="shared" si="23"/>
        <v>Tidak Eligible</v>
      </c>
    </row>
    <row r="457" spans="1:11" x14ac:dyDescent="0.3">
      <c r="A457" s="8">
        <v>456</v>
      </c>
      <c r="B457" s="8" t="s">
        <v>507</v>
      </c>
      <c r="C457" s="8" t="s">
        <v>833</v>
      </c>
      <c r="D457" s="8" t="s">
        <v>779</v>
      </c>
      <c r="E457" s="9">
        <f t="shared" si="21"/>
        <v>2025</v>
      </c>
      <c r="F457" s="8" t="str">
        <f>INDEX('Data Mahasiswa'!$N$1:$Q$14, MATCH(MID('Data Status Pendaftar'!B457, 5,2), 'Data Mahasiswa'!$N$1:$N$14,0),2)</f>
        <v>Ilmu Sosial</v>
      </c>
      <c r="G457" s="8" t="str" cm="1">
        <f t="array" ref="G457">INDEX('Data Mahasiswa'!$Q$2:$Q$14, MATCH(MID('Data Status Pendaftar'!B457,5,3), 'Data Mahasiswa'!$N$2:$N$14&amp;TEXT('Data Mahasiswa'!$P$2:$P$14,"0"), 0))</f>
        <v>Sosiologi</v>
      </c>
      <c r="H457" s="9">
        <f t="shared" ca="1" si="22"/>
        <v>2</v>
      </c>
      <c r="I457" s="10">
        <f>INDEX('Data Mahasiswa'!$A$1:$J$701, MATCH('Data Status Pendaftar'!B457, 'Data Mahasiswa'!$A$1:$A$701, 0), 10)</f>
        <v>2.7395833333333335</v>
      </c>
      <c r="J457" s="8" t="str" cm="1">
        <f t="array" ref="J457">INDEX('Data Mahasiswa'!B457:I457,MATCH(MIN(VLOOKUP('Data Mahasiswa'!B457:I457,'Data Mahasiswa'!$N$27:$O$36,2,0)),VLOOKUP('Data Mahasiswa'!B457:I457,'Data Mahasiswa'!$N$27:$O$36,2,0),0))</f>
        <v>C</v>
      </c>
      <c r="K457" s="8" t="str">
        <f t="shared" si="23"/>
        <v>Tidak Eligible</v>
      </c>
    </row>
    <row r="458" spans="1:11" x14ac:dyDescent="0.3">
      <c r="A458" s="5">
        <v>457</v>
      </c>
      <c r="B458" s="5" t="s">
        <v>508</v>
      </c>
      <c r="C458" s="5" t="s">
        <v>1209</v>
      </c>
      <c r="D458" s="5" t="s">
        <v>780</v>
      </c>
      <c r="E458" s="6">
        <f t="shared" si="21"/>
        <v>2025</v>
      </c>
      <c r="F458" s="5" t="str">
        <f>INDEX('Data Mahasiswa'!$N$1:$Q$14, MATCH(MID('Data Status Pendaftar'!B458, 5,2), 'Data Mahasiswa'!$N$1:$N$14,0),2)</f>
        <v>Ilmu Sosial</v>
      </c>
      <c r="G458" s="5" t="str" cm="1">
        <f t="array" ref="G458">INDEX('Data Mahasiswa'!$Q$2:$Q$14, MATCH(MID('Data Status Pendaftar'!B458,5,3), 'Data Mahasiswa'!$N$2:$N$14&amp;TEXT('Data Mahasiswa'!$P$2:$P$14,"0"), 0))</f>
        <v>Sosiologi</v>
      </c>
      <c r="H458" s="6">
        <f t="shared" ca="1" si="22"/>
        <v>2</v>
      </c>
      <c r="I458" s="7">
        <f>INDEX('Data Mahasiswa'!$A$1:$J$701, MATCH('Data Status Pendaftar'!B458, 'Data Mahasiswa'!$A$1:$A$701, 0), 10)</f>
        <v>3.28125</v>
      </c>
      <c r="J458" s="5" t="str" cm="1">
        <f t="array" ref="J458">INDEX('Data Mahasiswa'!B458:I458,MATCH(MIN(VLOOKUP('Data Mahasiswa'!B458:I458,'Data Mahasiswa'!$N$27:$O$36,2,0)),VLOOKUP('Data Mahasiswa'!B458:I458,'Data Mahasiswa'!$N$27:$O$36,2,0),0))</f>
        <v>C</v>
      </c>
      <c r="K458" s="5" t="str">
        <f t="shared" si="23"/>
        <v>Eligible</v>
      </c>
    </row>
    <row r="459" spans="1:11" x14ac:dyDescent="0.3">
      <c r="A459" s="8">
        <v>458</v>
      </c>
      <c r="B459" s="8" t="s">
        <v>509</v>
      </c>
      <c r="C459" s="8" t="s">
        <v>1100</v>
      </c>
      <c r="D459" s="8" t="s">
        <v>779</v>
      </c>
      <c r="E459" s="9">
        <f t="shared" si="21"/>
        <v>2025</v>
      </c>
      <c r="F459" s="8" t="str">
        <f>INDEX('Data Mahasiswa'!$N$1:$Q$14, MATCH(MID('Data Status Pendaftar'!B459, 5,2), 'Data Mahasiswa'!$N$1:$N$14,0),2)</f>
        <v>Ilmu Sosial</v>
      </c>
      <c r="G459" s="8" t="str" cm="1">
        <f t="array" ref="G459">INDEX('Data Mahasiswa'!$Q$2:$Q$14, MATCH(MID('Data Status Pendaftar'!B459,5,3), 'Data Mahasiswa'!$N$2:$N$14&amp;TEXT('Data Mahasiswa'!$P$2:$P$14,"0"), 0))</f>
        <v>Sosiologi</v>
      </c>
      <c r="H459" s="9">
        <f t="shared" ca="1" si="22"/>
        <v>2</v>
      </c>
      <c r="I459" s="10">
        <f>INDEX('Data Mahasiswa'!$A$1:$J$701, MATCH('Data Status Pendaftar'!B459, 'Data Mahasiswa'!$A$1:$A$701, 0), 10)</f>
        <v>3.0520833333333335</v>
      </c>
      <c r="J459" s="8" t="str" cm="1">
        <f t="array" ref="J459">INDEX('Data Mahasiswa'!B459:I459,MATCH(MIN(VLOOKUP('Data Mahasiswa'!B459:I459,'Data Mahasiswa'!$N$27:$O$36,2,0)),VLOOKUP('Data Mahasiswa'!B459:I459,'Data Mahasiswa'!$N$27:$O$36,2,0),0))</f>
        <v>C+</v>
      </c>
      <c r="K459" s="8" t="str">
        <f t="shared" si="23"/>
        <v>Eligible</v>
      </c>
    </row>
    <row r="460" spans="1:11" x14ac:dyDescent="0.3">
      <c r="A460" s="5">
        <v>459</v>
      </c>
      <c r="B460" s="5" t="s">
        <v>510</v>
      </c>
      <c r="C460" s="5" t="s">
        <v>1210</v>
      </c>
      <c r="D460" s="5" t="s">
        <v>780</v>
      </c>
      <c r="E460" s="6">
        <f t="shared" si="21"/>
        <v>2025</v>
      </c>
      <c r="F460" s="5" t="str">
        <f>INDEX('Data Mahasiswa'!$N$1:$Q$14, MATCH(MID('Data Status Pendaftar'!B460, 5,2), 'Data Mahasiswa'!$N$1:$N$14,0),2)</f>
        <v>Ilmu Sosial</v>
      </c>
      <c r="G460" s="5" t="str" cm="1">
        <f t="array" ref="G460">INDEX('Data Mahasiswa'!$Q$2:$Q$14, MATCH(MID('Data Status Pendaftar'!B460,5,3), 'Data Mahasiswa'!$N$2:$N$14&amp;TEXT('Data Mahasiswa'!$P$2:$P$14,"0"), 0))</f>
        <v>Sosiologi</v>
      </c>
      <c r="H460" s="6">
        <f t="shared" ca="1" si="22"/>
        <v>2</v>
      </c>
      <c r="I460" s="7">
        <f>INDEX('Data Mahasiswa'!$A$1:$J$701, MATCH('Data Status Pendaftar'!B460, 'Data Mahasiswa'!$A$1:$A$701, 0), 10)</f>
        <v>2.4479166666666665</v>
      </c>
      <c r="J460" s="5" t="str" cm="1">
        <f t="array" ref="J460">INDEX('Data Mahasiswa'!B460:I460,MATCH(MIN(VLOOKUP('Data Mahasiswa'!B460:I460,'Data Mahasiswa'!$N$27:$O$36,2,0)),VLOOKUP('Data Mahasiswa'!B460:I460,'Data Mahasiswa'!$N$27:$O$36,2,0),0))</f>
        <v>C</v>
      </c>
      <c r="K460" s="5" t="str">
        <f t="shared" si="23"/>
        <v>Tidak Eligible</v>
      </c>
    </row>
    <row r="461" spans="1:11" x14ac:dyDescent="0.3">
      <c r="A461" s="8">
        <v>460</v>
      </c>
      <c r="B461" s="8" t="s">
        <v>511</v>
      </c>
      <c r="C461" s="8" t="s">
        <v>1211</v>
      </c>
      <c r="D461" s="8" t="s">
        <v>779</v>
      </c>
      <c r="E461" s="9">
        <f t="shared" si="21"/>
        <v>2025</v>
      </c>
      <c r="F461" s="8" t="str">
        <f>INDEX('Data Mahasiswa'!$N$1:$Q$14, MATCH(MID('Data Status Pendaftar'!B461, 5,2), 'Data Mahasiswa'!$N$1:$N$14,0),2)</f>
        <v>Ilmu Sosial</v>
      </c>
      <c r="G461" s="8" t="str" cm="1">
        <f t="array" ref="G461">INDEX('Data Mahasiswa'!$Q$2:$Q$14, MATCH(MID('Data Status Pendaftar'!B461,5,3), 'Data Mahasiswa'!$N$2:$N$14&amp;TEXT('Data Mahasiswa'!$P$2:$P$14,"0"), 0))</f>
        <v>Sosiologi</v>
      </c>
      <c r="H461" s="9">
        <f t="shared" ca="1" si="22"/>
        <v>2</v>
      </c>
      <c r="I461" s="10">
        <f>INDEX('Data Mahasiswa'!$A$1:$J$701, MATCH('Data Status Pendaftar'!B461, 'Data Mahasiswa'!$A$1:$A$701, 0), 10)</f>
        <v>3.1666666666666665</v>
      </c>
      <c r="J461" s="8" t="str" cm="1">
        <f t="array" ref="J461">INDEX('Data Mahasiswa'!B461:I461,MATCH(MIN(VLOOKUP('Data Mahasiswa'!B461:I461,'Data Mahasiswa'!$N$27:$O$36,2,0)),VLOOKUP('Data Mahasiswa'!B461:I461,'Data Mahasiswa'!$N$27:$O$36,2,0),0))</f>
        <v>C+</v>
      </c>
      <c r="K461" s="8" t="str">
        <f t="shared" si="23"/>
        <v>Eligible</v>
      </c>
    </row>
    <row r="462" spans="1:11" x14ac:dyDescent="0.3">
      <c r="A462" s="5">
        <v>461</v>
      </c>
      <c r="B462" s="5" t="s">
        <v>512</v>
      </c>
      <c r="C462" s="5" t="s">
        <v>1048</v>
      </c>
      <c r="D462" s="5" t="s">
        <v>780</v>
      </c>
      <c r="E462" s="6">
        <f t="shared" si="21"/>
        <v>2025</v>
      </c>
      <c r="F462" s="5" t="str">
        <f>INDEX('Data Mahasiswa'!$N$1:$Q$14, MATCH(MID('Data Status Pendaftar'!B462, 5,2), 'Data Mahasiswa'!$N$1:$N$14,0),2)</f>
        <v>Ilmu Sosial</v>
      </c>
      <c r="G462" s="5" t="str" cm="1">
        <f t="array" ref="G462">INDEX('Data Mahasiswa'!$Q$2:$Q$14, MATCH(MID('Data Status Pendaftar'!B462,5,3), 'Data Mahasiswa'!$N$2:$N$14&amp;TEXT('Data Mahasiswa'!$P$2:$P$14,"0"), 0))</f>
        <v>Sosiologi</v>
      </c>
      <c r="H462" s="6">
        <f t="shared" ca="1" si="22"/>
        <v>2</v>
      </c>
      <c r="I462" s="7">
        <f>INDEX('Data Mahasiswa'!$A$1:$J$701, MATCH('Data Status Pendaftar'!B462, 'Data Mahasiswa'!$A$1:$A$701, 0), 10)</f>
        <v>3.1875</v>
      </c>
      <c r="J462" s="5" t="str" cm="1">
        <f t="array" ref="J462">INDEX('Data Mahasiswa'!B462:I462,MATCH(MIN(VLOOKUP('Data Mahasiswa'!B462:I462,'Data Mahasiswa'!$N$27:$O$36,2,0)),VLOOKUP('Data Mahasiswa'!B462:I462,'Data Mahasiswa'!$N$27:$O$36,2,0),0))</f>
        <v>E</v>
      </c>
      <c r="K462" s="5" t="str">
        <f t="shared" si="23"/>
        <v>Tidak Eligible</v>
      </c>
    </row>
    <row r="463" spans="1:11" x14ac:dyDescent="0.3">
      <c r="A463" s="8">
        <v>462</v>
      </c>
      <c r="B463" s="8" t="s">
        <v>513</v>
      </c>
      <c r="C463" s="8" t="s">
        <v>1212</v>
      </c>
      <c r="D463" s="8" t="s">
        <v>779</v>
      </c>
      <c r="E463" s="9">
        <f t="shared" si="21"/>
        <v>2025</v>
      </c>
      <c r="F463" s="8" t="str">
        <f>INDEX('Data Mahasiswa'!$N$1:$Q$14, MATCH(MID('Data Status Pendaftar'!B463, 5,2), 'Data Mahasiswa'!$N$1:$N$14,0),2)</f>
        <v>Ilmu Sosial</v>
      </c>
      <c r="G463" s="8" t="str" cm="1">
        <f t="array" ref="G463">INDEX('Data Mahasiswa'!$Q$2:$Q$14, MATCH(MID('Data Status Pendaftar'!B463,5,3), 'Data Mahasiswa'!$N$2:$N$14&amp;TEXT('Data Mahasiswa'!$P$2:$P$14,"0"), 0))</f>
        <v>Sosiologi</v>
      </c>
      <c r="H463" s="9">
        <f t="shared" ca="1" si="22"/>
        <v>2</v>
      </c>
      <c r="I463" s="10">
        <f>INDEX('Data Mahasiswa'!$A$1:$J$701, MATCH('Data Status Pendaftar'!B463, 'Data Mahasiswa'!$A$1:$A$701, 0), 10)</f>
        <v>3.4791666666666665</v>
      </c>
      <c r="J463" s="8" t="str" cm="1">
        <f t="array" ref="J463">INDEX('Data Mahasiswa'!B463:I463,MATCH(MIN(VLOOKUP('Data Mahasiswa'!B463:I463,'Data Mahasiswa'!$N$27:$O$36,2,0)),VLOOKUP('Data Mahasiswa'!B463:I463,'Data Mahasiswa'!$N$27:$O$36,2,0),0))</f>
        <v>C+</v>
      </c>
      <c r="K463" s="8" t="str">
        <f t="shared" si="23"/>
        <v>Eligible</v>
      </c>
    </row>
    <row r="464" spans="1:11" x14ac:dyDescent="0.3">
      <c r="A464" s="5">
        <v>463</v>
      </c>
      <c r="B464" s="5" t="s">
        <v>514</v>
      </c>
      <c r="C464" s="5" t="s">
        <v>1213</v>
      </c>
      <c r="D464" s="5" t="s">
        <v>779</v>
      </c>
      <c r="E464" s="6">
        <f t="shared" si="21"/>
        <v>2025</v>
      </c>
      <c r="F464" s="5" t="str">
        <f>INDEX('Data Mahasiswa'!$N$1:$Q$14, MATCH(MID('Data Status Pendaftar'!B464, 5,2), 'Data Mahasiswa'!$N$1:$N$14,0),2)</f>
        <v>Ilmu Sosial</v>
      </c>
      <c r="G464" s="5" t="str" cm="1">
        <f t="array" ref="G464">INDEX('Data Mahasiswa'!$Q$2:$Q$14, MATCH(MID('Data Status Pendaftar'!B464,5,3), 'Data Mahasiswa'!$N$2:$N$14&amp;TEXT('Data Mahasiswa'!$P$2:$P$14,"0"), 0))</f>
        <v>Sosiologi</v>
      </c>
      <c r="H464" s="6">
        <f t="shared" ca="1" si="22"/>
        <v>2</v>
      </c>
      <c r="I464" s="7">
        <f>INDEX('Data Mahasiswa'!$A$1:$J$701, MATCH('Data Status Pendaftar'!B464, 'Data Mahasiswa'!$A$1:$A$701, 0), 10)</f>
        <v>3.4791666666666665</v>
      </c>
      <c r="J464" s="5" t="str" cm="1">
        <f t="array" ref="J464">INDEX('Data Mahasiswa'!B464:I464,MATCH(MIN(VLOOKUP('Data Mahasiswa'!B464:I464,'Data Mahasiswa'!$N$27:$O$36,2,0)),VLOOKUP('Data Mahasiswa'!B464:I464,'Data Mahasiswa'!$N$27:$O$36,2,0),0))</f>
        <v>C+</v>
      </c>
      <c r="K464" s="5" t="str">
        <f t="shared" si="23"/>
        <v>Eligible</v>
      </c>
    </row>
    <row r="465" spans="1:11" x14ac:dyDescent="0.3">
      <c r="A465" s="8">
        <v>464</v>
      </c>
      <c r="B465" s="8" t="s">
        <v>515</v>
      </c>
      <c r="C465" s="8" t="s">
        <v>873</v>
      </c>
      <c r="D465" s="8" t="s">
        <v>779</v>
      </c>
      <c r="E465" s="9">
        <f t="shared" si="21"/>
        <v>2025</v>
      </c>
      <c r="F465" s="8" t="str">
        <f>INDEX('Data Mahasiswa'!$N$1:$Q$14, MATCH(MID('Data Status Pendaftar'!B465, 5,2), 'Data Mahasiswa'!$N$1:$N$14,0),2)</f>
        <v>Ilmu Sosial</v>
      </c>
      <c r="G465" s="8" t="str" cm="1">
        <f t="array" ref="G465">INDEX('Data Mahasiswa'!$Q$2:$Q$14, MATCH(MID('Data Status Pendaftar'!B465,5,3), 'Data Mahasiswa'!$N$2:$N$14&amp;TEXT('Data Mahasiswa'!$P$2:$P$14,"0"), 0))</f>
        <v>Sosiologi</v>
      </c>
      <c r="H465" s="9">
        <f t="shared" ca="1" si="22"/>
        <v>2</v>
      </c>
      <c r="I465" s="10">
        <f>INDEX('Data Mahasiswa'!$A$1:$J$701, MATCH('Data Status Pendaftar'!B465, 'Data Mahasiswa'!$A$1:$A$701, 0), 10)</f>
        <v>3.15625</v>
      </c>
      <c r="J465" s="8" t="str" cm="1">
        <f t="array" ref="J465">INDEX('Data Mahasiswa'!B465:I465,MATCH(MIN(VLOOKUP('Data Mahasiswa'!B465:I465,'Data Mahasiswa'!$N$27:$O$36,2,0)),VLOOKUP('Data Mahasiswa'!B465:I465,'Data Mahasiswa'!$N$27:$O$36,2,0),0))</f>
        <v>C+</v>
      </c>
      <c r="K465" s="8" t="str">
        <f t="shared" si="23"/>
        <v>Eligible</v>
      </c>
    </row>
    <row r="466" spans="1:11" x14ac:dyDescent="0.3">
      <c r="A466" s="5">
        <v>465</v>
      </c>
      <c r="B466" s="5" t="s">
        <v>516</v>
      </c>
      <c r="C466" s="5" t="s">
        <v>1214</v>
      </c>
      <c r="D466" s="5" t="s">
        <v>780</v>
      </c>
      <c r="E466" s="6">
        <f t="shared" si="21"/>
        <v>2025</v>
      </c>
      <c r="F466" s="5" t="str">
        <f>INDEX('Data Mahasiswa'!$N$1:$Q$14, MATCH(MID('Data Status Pendaftar'!B466, 5,2), 'Data Mahasiswa'!$N$1:$N$14,0),2)</f>
        <v>Ilmu Sosial</v>
      </c>
      <c r="G466" s="5" t="str" cm="1">
        <f t="array" ref="G466">INDEX('Data Mahasiswa'!$Q$2:$Q$14, MATCH(MID('Data Status Pendaftar'!B466,5,3), 'Data Mahasiswa'!$N$2:$N$14&amp;TEXT('Data Mahasiswa'!$P$2:$P$14,"0"), 0))</f>
        <v>Sosiologi</v>
      </c>
      <c r="H466" s="6">
        <f t="shared" ca="1" si="22"/>
        <v>2</v>
      </c>
      <c r="I466" s="7">
        <f>INDEX('Data Mahasiswa'!$A$1:$J$701, MATCH('Data Status Pendaftar'!B466, 'Data Mahasiswa'!$A$1:$A$701, 0), 10)</f>
        <v>3.25</v>
      </c>
      <c r="J466" s="5" t="str" cm="1">
        <f t="array" ref="J466">INDEX('Data Mahasiswa'!B466:I466,MATCH(MIN(VLOOKUP('Data Mahasiswa'!B466:I466,'Data Mahasiswa'!$N$27:$O$36,2,0)),VLOOKUP('Data Mahasiswa'!B466:I466,'Data Mahasiswa'!$N$27:$O$36,2,0),0))</f>
        <v>C+</v>
      </c>
      <c r="K466" s="5" t="str">
        <f t="shared" si="23"/>
        <v>Eligible</v>
      </c>
    </row>
    <row r="467" spans="1:11" x14ac:dyDescent="0.3">
      <c r="A467" s="8">
        <v>466</v>
      </c>
      <c r="B467" s="8" t="s">
        <v>517</v>
      </c>
      <c r="C467" s="8" t="s">
        <v>1215</v>
      </c>
      <c r="D467" s="8" t="s">
        <v>779</v>
      </c>
      <c r="E467" s="9">
        <f t="shared" si="21"/>
        <v>2025</v>
      </c>
      <c r="F467" s="8" t="str">
        <f>INDEX('Data Mahasiswa'!$N$1:$Q$14, MATCH(MID('Data Status Pendaftar'!B467, 5,2), 'Data Mahasiswa'!$N$1:$N$14,0),2)</f>
        <v>Ilmu Sosial</v>
      </c>
      <c r="G467" s="8" t="str" cm="1">
        <f t="array" ref="G467">INDEX('Data Mahasiswa'!$Q$2:$Q$14, MATCH(MID('Data Status Pendaftar'!B467,5,3), 'Data Mahasiswa'!$N$2:$N$14&amp;TEXT('Data Mahasiswa'!$P$2:$P$14,"0"), 0))</f>
        <v>Sosiologi</v>
      </c>
      <c r="H467" s="9">
        <f t="shared" ca="1" si="22"/>
        <v>2</v>
      </c>
      <c r="I467" s="10">
        <f>INDEX('Data Mahasiswa'!$A$1:$J$701, MATCH('Data Status Pendaftar'!B467, 'Data Mahasiswa'!$A$1:$A$701, 0), 10)</f>
        <v>2.90625</v>
      </c>
      <c r="J467" s="8" t="str" cm="1">
        <f t="array" ref="J467">INDEX('Data Mahasiswa'!B467:I467,MATCH(MIN(VLOOKUP('Data Mahasiswa'!B467:I467,'Data Mahasiswa'!$N$27:$O$36,2,0)),VLOOKUP('Data Mahasiswa'!B467:I467,'Data Mahasiswa'!$N$27:$O$36,2,0),0))</f>
        <v>C</v>
      </c>
      <c r="K467" s="8" t="str">
        <f t="shared" si="23"/>
        <v>Eligible</v>
      </c>
    </row>
    <row r="468" spans="1:11" x14ac:dyDescent="0.3">
      <c r="A468" s="5">
        <v>467</v>
      </c>
      <c r="B468" s="5" t="s">
        <v>518</v>
      </c>
      <c r="C468" s="5" t="s">
        <v>1216</v>
      </c>
      <c r="D468" s="5" t="s">
        <v>780</v>
      </c>
      <c r="E468" s="6">
        <f t="shared" si="21"/>
        <v>2025</v>
      </c>
      <c r="F468" s="5" t="str">
        <f>INDEX('Data Mahasiswa'!$N$1:$Q$14, MATCH(MID('Data Status Pendaftar'!B468, 5,2), 'Data Mahasiswa'!$N$1:$N$14,0),2)</f>
        <v>Ilmu Sosial</v>
      </c>
      <c r="G468" s="5" t="str" cm="1">
        <f t="array" ref="G468">INDEX('Data Mahasiswa'!$Q$2:$Q$14, MATCH(MID('Data Status Pendaftar'!B468,5,3), 'Data Mahasiswa'!$N$2:$N$14&amp;TEXT('Data Mahasiswa'!$P$2:$P$14,"0"), 0))</f>
        <v>Sosiologi</v>
      </c>
      <c r="H468" s="6">
        <f t="shared" ca="1" si="22"/>
        <v>2</v>
      </c>
      <c r="I468" s="7">
        <f>INDEX('Data Mahasiswa'!$A$1:$J$701, MATCH('Data Status Pendaftar'!B468, 'Data Mahasiswa'!$A$1:$A$701, 0), 10)</f>
        <v>2.3125</v>
      </c>
      <c r="J468" s="5" t="str" cm="1">
        <f t="array" ref="J468">INDEX('Data Mahasiswa'!B468:I468,MATCH(MIN(VLOOKUP('Data Mahasiswa'!B468:I468,'Data Mahasiswa'!$N$27:$O$36,2,0)),VLOOKUP('Data Mahasiswa'!B468:I468,'Data Mahasiswa'!$N$27:$O$36,2,0),0))</f>
        <v>E</v>
      </c>
      <c r="K468" s="5" t="str">
        <f t="shared" si="23"/>
        <v>Tidak Eligible</v>
      </c>
    </row>
    <row r="469" spans="1:11" x14ac:dyDescent="0.3">
      <c r="A469" s="8">
        <v>468</v>
      </c>
      <c r="B469" s="8" t="s">
        <v>519</v>
      </c>
      <c r="C469" s="8" t="s">
        <v>1217</v>
      </c>
      <c r="D469" s="8" t="s">
        <v>779</v>
      </c>
      <c r="E469" s="9">
        <f t="shared" si="21"/>
        <v>2025</v>
      </c>
      <c r="F469" s="8" t="str">
        <f>INDEX('Data Mahasiswa'!$N$1:$Q$14, MATCH(MID('Data Status Pendaftar'!B469, 5,2), 'Data Mahasiswa'!$N$1:$N$14,0),2)</f>
        <v>Ilmu Sosial</v>
      </c>
      <c r="G469" s="8" t="str" cm="1">
        <f t="array" ref="G469">INDEX('Data Mahasiswa'!$Q$2:$Q$14, MATCH(MID('Data Status Pendaftar'!B469,5,3), 'Data Mahasiswa'!$N$2:$N$14&amp;TEXT('Data Mahasiswa'!$P$2:$P$14,"0"), 0))</f>
        <v>Sosiologi</v>
      </c>
      <c r="H469" s="9">
        <f t="shared" ca="1" si="22"/>
        <v>2</v>
      </c>
      <c r="I469" s="10">
        <f>INDEX('Data Mahasiswa'!$A$1:$J$701, MATCH('Data Status Pendaftar'!B469, 'Data Mahasiswa'!$A$1:$A$701, 0), 10)</f>
        <v>3.2291666666666665</v>
      </c>
      <c r="J469" s="8" t="str" cm="1">
        <f t="array" ref="J469">INDEX('Data Mahasiswa'!B469:I469,MATCH(MIN(VLOOKUP('Data Mahasiswa'!B469:I469,'Data Mahasiswa'!$N$27:$O$36,2,0)),VLOOKUP('Data Mahasiswa'!B469:I469,'Data Mahasiswa'!$N$27:$O$36,2,0),0))</f>
        <v>B-</v>
      </c>
      <c r="K469" s="8" t="str">
        <f t="shared" si="23"/>
        <v>Eligible</v>
      </c>
    </row>
    <row r="470" spans="1:11" x14ac:dyDescent="0.3">
      <c r="A470" s="5">
        <v>469</v>
      </c>
      <c r="B470" s="5" t="s">
        <v>520</v>
      </c>
      <c r="C470" s="5" t="s">
        <v>1218</v>
      </c>
      <c r="D470" s="5" t="s">
        <v>779</v>
      </c>
      <c r="E470" s="6">
        <f t="shared" si="21"/>
        <v>2025</v>
      </c>
      <c r="F470" s="5" t="str">
        <f>INDEX('Data Mahasiswa'!$N$1:$Q$14, MATCH(MID('Data Status Pendaftar'!B470, 5,2), 'Data Mahasiswa'!$N$1:$N$14,0),2)</f>
        <v>Ilmu Sosial</v>
      </c>
      <c r="G470" s="5" t="str" cm="1">
        <f t="array" ref="G470">INDEX('Data Mahasiswa'!$Q$2:$Q$14, MATCH(MID('Data Status Pendaftar'!B470,5,3), 'Data Mahasiswa'!$N$2:$N$14&amp;TEXT('Data Mahasiswa'!$P$2:$P$14,"0"), 0))</f>
        <v>Sosiologi</v>
      </c>
      <c r="H470" s="6">
        <f t="shared" ca="1" si="22"/>
        <v>2</v>
      </c>
      <c r="I470" s="7">
        <f>INDEX('Data Mahasiswa'!$A$1:$J$701, MATCH('Data Status Pendaftar'!B470, 'Data Mahasiswa'!$A$1:$A$701, 0), 10)</f>
        <v>3.40625</v>
      </c>
      <c r="J470" s="5" t="str" cm="1">
        <f t="array" ref="J470">INDEX('Data Mahasiswa'!B470:I470,MATCH(MIN(VLOOKUP('Data Mahasiswa'!B470:I470,'Data Mahasiswa'!$N$27:$O$36,2,0)),VLOOKUP('Data Mahasiswa'!B470:I470,'Data Mahasiswa'!$N$27:$O$36,2,0),0))</f>
        <v>B-</v>
      </c>
      <c r="K470" s="5" t="str">
        <f t="shared" si="23"/>
        <v>Eligible</v>
      </c>
    </row>
    <row r="471" spans="1:11" x14ac:dyDescent="0.3">
      <c r="A471" s="8">
        <v>470</v>
      </c>
      <c r="B471" s="8" t="s">
        <v>521</v>
      </c>
      <c r="C471" s="8" t="s">
        <v>1219</v>
      </c>
      <c r="D471" s="8" t="s">
        <v>780</v>
      </c>
      <c r="E471" s="9">
        <f t="shared" si="21"/>
        <v>2025</v>
      </c>
      <c r="F471" s="8" t="str">
        <f>INDEX('Data Mahasiswa'!$N$1:$Q$14, MATCH(MID('Data Status Pendaftar'!B471, 5,2), 'Data Mahasiswa'!$N$1:$N$14,0),2)</f>
        <v>Ilmu Sosial</v>
      </c>
      <c r="G471" s="8" t="str" cm="1">
        <f t="array" ref="G471">INDEX('Data Mahasiswa'!$Q$2:$Q$14, MATCH(MID('Data Status Pendaftar'!B471,5,3), 'Data Mahasiswa'!$N$2:$N$14&amp;TEXT('Data Mahasiswa'!$P$2:$P$14,"0"), 0))</f>
        <v>Sosiologi</v>
      </c>
      <c r="H471" s="9">
        <f t="shared" ca="1" si="22"/>
        <v>2</v>
      </c>
      <c r="I471" s="10">
        <f>INDEX('Data Mahasiswa'!$A$1:$J$701, MATCH('Data Status Pendaftar'!B471, 'Data Mahasiswa'!$A$1:$A$701, 0), 10)</f>
        <v>2.3541666666666665</v>
      </c>
      <c r="J471" s="8" t="str" cm="1">
        <f t="array" ref="J471">INDEX('Data Mahasiswa'!B471:I471,MATCH(MIN(VLOOKUP('Data Mahasiswa'!B471:I471,'Data Mahasiswa'!$N$27:$O$36,2,0)),VLOOKUP('Data Mahasiswa'!B471:I471,'Data Mahasiswa'!$N$27:$O$36,2,0),0))</f>
        <v>E</v>
      </c>
      <c r="K471" s="8" t="str">
        <f t="shared" si="23"/>
        <v>Tidak Eligible</v>
      </c>
    </row>
    <row r="472" spans="1:11" x14ac:dyDescent="0.3">
      <c r="A472" s="5">
        <v>471</v>
      </c>
      <c r="B472" s="5" t="s">
        <v>522</v>
      </c>
      <c r="C472" s="5" t="s">
        <v>1220</v>
      </c>
      <c r="D472" s="5" t="s">
        <v>780</v>
      </c>
      <c r="E472" s="6">
        <f t="shared" si="21"/>
        <v>2025</v>
      </c>
      <c r="F472" s="5" t="str">
        <f>INDEX('Data Mahasiswa'!$N$1:$Q$14, MATCH(MID('Data Status Pendaftar'!B472, 5,2), 'Data Mahasiswa'!$N$1:$N$14,0),2)</f>
        <v>Ilmu Sosial</v>
      </c>
      <c r="G472" s="5" t="str" cm="1">
        <f t="array" ref="G472">INDEX('Data Mahasiswa'!$Q$2:$Q$14, MATCH(MID('Data Status Pendaftar'!B472,5,3), 'Data Mahasiswa'!$N$2:$N$14&amp;TEXT('Data Mahasiswa'!$P$2:$P$14,"0"), 0))</f>
        <v>Sosiologi</v>
      </c>
      <c r="H472" s="6">
        <f t="shared" ca="1" si="22"/>
        <v>2</v>
      </c>
      <c r="I472" s="7">
        <f>INDEX('Data Mahasiswa'!$A$1:$J$701, MATCH('Data Status Pendaftar'!B472, 'Data Mahasiswa'!$A$1:$A$701, 0), 10)</f>
        <v>3.3854166666666665</v>
      </c>
      <c r="J472" s="5" t="str" cm="1">
        <f t="array" ref="J472">INDEX('Data Mahasiswa'!B472:I472,MATCH(MIN(VLOOKUP('Data Mahasiswa'!B472:I472,'Data Mahasiswa'!$N$27:$O$36,2,0)),VLOOKUP('Data Mahasiswa'!B472:I472,'Data Mahasiswa'!$N$27:$O$36,2,0),0))</f>
        <v>C</v>
      </c>
      <c r="K472" s="5" t="str">
        <f t="shared" si="23"/>
        <v>Eligible</v>
      </c>
    </row>
    <row r="473" spans="1:11" x14ac:dyDescent="0.3">
      <c r="A473" s="8">
        <v>472</v>
      </c>
      <c r="B473" s="8" t="s">
        <v>523</v>
      </c>
      <c r="C473" s="8" t="s">
        <v>1221</v>
      </c>
      <c r="D473" s="8" t="s">
        <v>779</v>
      </c>
      <c r="E473" s="9">
        <f t="shared" si="21"/>
        <v>2025</v>
      </c>
      <c r="F473" s="8" t="str">
        <f>INDEX('Data Mahasiswa'!$N$1:$Q$14, MATCH(MID('Data Status Pendaftar'!B473, 5,2), 'Data Mahasiswa'!$N$1:$N$14,0),2)</f>
        <v>Ilmu Sosial</v>
      </c>
      <c r="G473" s="8" t="str" cm="1">
        <f t="array" ref="G473">INDEX('Data Mahasiswa'!$Q$2:$Q$14, MATCH(MID('Data Status Pendaftar'!B473,5,3), 'Data Mahasiswa'!$N$2:$N$14&amp;TEXT('Data Mahasiswa'!$P$2:$P$14,"0"), 0))</f>
        <v>Sosiologi</v>
      </c>
      <c r="H473" s="9">
        <f t="shared" ca="1" si="22"/>
        <v>2</v>
      </c>
      <c r="I473" s="10">
        <f>INDEX('Data Mahasiswa'!$A$1:$J$701, MATCH('Data Status Pendaftar'!B473, 'Data Mahasiswa'!$A$1:$A$701, 0), 10)</f>
        <v>2.9375</v>
      </c>
      <c r="J473" s="8" t="str" cm="1">
        <f t="array" ref="J473">INDEX('Data Mahasiswa'!B473:I473,MATCH(MIN(VLOOKUP('Data Mahasiswa'!B473:I473,'Data Mahasiswa'!$N$27:$O$36,2,0)),VLOOKUP('Data Mahasiswa'!B473:I473,'Data Mahasiswa'!$N$27:$O$36,2,0),0))</f>
        <v>E</v>
      </c>
      <c r="K473" s="8" t="str">
        <f t="shared" si="23"/>
        <v>Tidak Eligible</v>
      </c>
    </row>
    <row r="474" spans="1:11" x14ac:dyDescent="0.3">
      <c r="A474" s="5">
        <v>473</v>
      </c>
      <c r="B474" s="5" t="s">
        <v>524</v>
      </c>
      <c r="C474" s="5" t="s">
        <v>1222</v>
      </c>
      <c r="D474" s="5" t="s">
        <v>779</v>
      </c>
      <c r="E474" s="6">
        <f t="shared" si="21"/>
        <v>2025</v>
      </c>
      <c r="F474" s="5" t="str">
        <f>INDEX('Data Mahasiswa'!$N$1:$Q$14, MATCH(MID('Data Status Pendaftar'!B474, 5,2), 'Data Mahasiswa'!$N$1:$N$14,0),2)</f>
        <v>Ilmu Sosial</v>
      </c>
      <c r="G474" s="5" t="str" cm="1">
        <f t="array" ref="G474">INDEX('Data Mahasiswa'!$Q$2:$Q$14, MATCH(MID('Data Status Pendaftar'!B474,5,3), 'Data Mahasiswa'!$N$2:$N$14&amp;TEXT('Data Mahasiswa'!$P$2:$P$14,"0"), 0))</f>
        <v>Sosiologi</v>
      </c>
      <c r="H474" s="6">
        <f t="shared" ca="1" si="22"/>
        <v>2</v>
      </c>
      <c r="I474" s="7">
        <f>INDEX('Data Mahasiswa'!$A$1:$J$701, MATCH('Data Status Pendaftar'!B474, 'Data Mahasiswa'!$A$1:$A$701, 0), 10)</f>
        <v>2.6458333333333335</v>
      </c>
      <c r="J474" s="5" t="str" cm="1">
        <f t="array" ref="J474">INDEX('Data Mahasiswa'!B474:I474,MATCH(MIN(VLOOKUP('Data Mahasiswa'!B474:I474,'Data Mahasiswa'!$N$27:$O$36,2,0)),VLOOKUP('Data Mahasiswa'!B474:I474,'Data Mahasiswa'!$N$27:$O$36,2,0),0))</f>
        <v>E</v>
      </c>
      <c r="K474" s="5" t="str">
        <f t="shared" si="23"/>
        <v>Tidak Eligible</v>
      </c>
    </row>
    <row r="475" spans="1:11" x14ac:dyDescent="0.3">
      <c r="A475" s="8">
        <v>474</v>
      </c>
      <c r="B475" s="8" t="s">
        <v>525</v>
      </c>
      <c r="C475" s="8" t="s">
        <v>1223</v>
      </c>
      <c r="D475" s="8" t="s">
        <v>780</v>
      </c>
      <c r="E475" s="9">
        <f t="shared" si="21"/>
        <v>2025</v>
      </c>
      <c r="F475" s="8" t="str">
        <f>INDEX('Data Mahasiswa'!$N$1:$Q$14, MATCH(MID('Data Status Pendaftar'!B475, 5,2), 'Data Mahasiswa'!$N$1:$N$14,0),2)</f>
        <v>Ilmu Sosial</v>
      </c>
      <c r="G475" s="8" t="str" cm="1">
        <f t="array" ref="G475">INDEX('Data Mahasiswa'!$Q$2:$Q$14, MATCH(MID('Data Status Pendaftar'!B475,5,3), 'Data Mahasiswa'!$N$2:$N$14&amp;TEXT('Data Mahasiswa'!$P$2:$P$14,"0"), 0))</f>
        <v>Sosiologi</v>
      </c>
      <c r="H475" s="9">
        <f t="shared" ca="1" si="22"/>
        <v>2</v>
      </c>
      <c r="I475" s="10">
        <f>INDEX('Data Mahasiswa'!$A$1:$J$701, MATCH('Data Status Pendaftar'!B475, 'Data Mahasiswa'!$A$1:$A$701, 0), 10)</f>
        <v>2.8541666666666665</v>
      </c>
      <c r="J475" s="8" t="str" cm="1">
        <f t="array" ref="J475">INDEX('Data Mahasiswa'!B475:I475,MATCH(MIN(VLOOKUP('Data Mahasiswa'!B475:I475,'Data Mahasiswa'!$N$27:$O$36,2,0)),VLOOKUP('Data Mahasiswa'!B475:I475,'Data Mahasiswa'!$N$27:$O$36,2,0),0))</f>
        <v>C</v>
      </c>
      <c r="K475" s="8" t="str">
        <f t="shared" si="23"/>
        <v>Eligible</v>
      </c>
    </row>
    <row r="476" spans="1:11" x14ac:dyDescent="0.3">
      <c r="A476" s="5">
        <v>475</v>
      </c>
      <c r="B476" s="5" t="s">
        <v>526</v>
      </c>
      <c r="C476" s="5" t="s">
        <v>1224</v>
      </c>
      <c r="D476" s="5" t="s">
        <v>779</v>
      </c>
      <c r="E476" s="6">
        <f t="shared" si="21"/>
        <v>2025</v>
      </c>
      <c r="F476" s="5" t="str">
        <f>INDEX('Data Mahasiswa'!$N$1:$Q$14, MATCH(MID('Data Status Pendaftar'!B476, 5,2), 'Data Mahasiswa'!$N$1:$N$14,0),2)</f>
        <v>Ilmu Sosial</v>
      </c>
      <c r="G476" s="5" t="str" cm="1">
        <f t="array" ref="G476">INDEX('Data Mahasiswa'!$Q$2:$Q$14, MATCH(MID('Data Status Pendaftar'!B476,5,3), 'Data Mahasiswa'!$N$2:$N$14&amp;TEXT('Data Mahasiswa'!$P$2:$P$14,"0"), 0))</f>
        <v>Sosiologi</v>
      </c>
      <c r="H476" s="6">
        <f t="shared" ca="1" si="22"/>
        <v>2</v>
      </c>
      <c r="I476" s="7">
        <f>INDEX('Data Mahasiswa'!$A$1:$J$701, MATCH('Data Status Pendaftar'!B476, 'Data Mahasiswa'!$A$1:$A$701, 0), 10)</f>
        <v>2.7291666666666665</v>
      </c>
      <c r="J476" s="5" t="str" cm="1">
        <f t="array" ref="J476">INDEX('Data Mahasiswa'!B476:I476,MATCH(MIN(VLOOKUP('Data Mahasiswa'!B476:I476,'Data Mahasiswa'!$N$27:$O$36,2,0)),VLOOKUP('Data Mahasiswa'!B476:I476,'Data Mahasiswa'!$N$27:$O$36,2,0),0))</f>
        <v>E</v>
      </c>
      <c r="K476" s="5" t="str">
        <f t="shared" si="23"/>
        <v>Tidak Eligible</v>
      </c>
    </row>
    <row r="477" spans="1:11" x14ac:dyDescent="0.3">
      <c r="A477" s="8">
        <v>476</v>
      </c>
      <c r="B477" s="8" t="s">
        <v>527</v>
      </c>
      <c r="C477" s="8" t="s">
        <v>1225</v>
      </c>
      <c r="D477" s="8" t="s">
        <v>780</v>
      </c>
      <c r="E477" s="9">
        <f t="shared" si="21"/>
        <v>2025</v>
      </c>
      <c r="F477" s="8" t="str">
        <f>INDEX('Data Mahasiswa'!$N$1:$Q$14, MATCH(MID('Data Status Pendaftar'!B477, 5,2), 'Data Mahasiswa'!$N$1:$N$14,0),2)</f>
        <v>Ilmu Sosial</v>
      </c>
      <c r="G477" s="8" t="str" cm="1">
        <f t="array" ref="G477">INDEX('Data Mahasiswa'!$Q$2:$Q$14, MATCH(MID('Data Status Pendaftar'!B477,5,3), 'Data Mahasiswa'!$N$2:$N$14&amp;TEXT('Data Mahasiswa'!$P$2:$P$14,"0"), 0))</f>
        <v>Sosiologi</v>
      </c>
      <c r="H477" s="9">
        <f t="shared" ca="1" si="22"/>
        <v>2</v>
      </c>
      <c r="I477" s="10">
        <f>INDEX('Data Mahasiswa'!$A$1:$J$701, MATCH('Data Status Pendaftar'!B477, 'Data Mahasiswa'!$A$1:$A$701, 0), 10)</f>
        <v>3.1979166666666665</v>
      </c>
      <c r="J477" s="8" t="str" cm="1">
        <f t="array" ref="J477">INDEX('Data Mahasiswa'!B477:I477,MATCH(MIN(VLOOKUP('Data Mahasiswa'!B477:I477,'Data Mahasiswa'!$N$27:$O$36,2,0)),VLOOKUP('Data Mahasiswa'!B477:I477,'Data Mahasiswa'!$N$27:$O$36,2,0),0))</f>
        <v>C+</v>
      </c>
      <c r="K477" s="8" t="str">
        <f t="shared" si="23"/>
        <v>Eligible</v>
      </c>
    </row>
    <row r="478" spans="1:11" x14ac:dyDescent="0.3">
      <c r="A478" s="5">
        <v>477</v>
      </c>
      <c r="B478" s="5" t="s">
        <v>528</v>
      </c>
      <c r="C478" s="5" t="s">
        <v>1014</v>
      </c>
      <c r="D478" s="5" t="s">
        <v>780</v>
      </c>
      <c r="E478" s="6">
        <f t="shared" si="21"/>
        <v>2025</v>
      </c>
      <c r="F478" s="5" t="str">
        <f>INDEX('Data Mahasiswa'!$N$1:$Q$14, MATCH(MID('Data Status Pendaftar'!B478, 5,2), 'Data Mahasiswa'!$N$1:$N$14,0),2)</f>
        <v>Ilmu Sosial</v>
      </c>
      <c r="G478" s="5" t="str" cm="1">
        <f t="array" ref="G478">INDEX('Data Mahasiswa'!$Q$2:$Q$14, MATCH(MID('Data Status Pendaftar'!B478,5,3), 'Data Mahasiswa'!$N$2:$N$14&amp;TEXT('Data Mahasiswa'!$P$2:$P$14,"0"), 0))</f>
        <v>Sosiologi</v>
      </c>
      <c r="H478" s="6">
        <f t="shared" ca="1" si="22"/>
        <v>2</v>
      </c>
      <c r="I478" s="7">
        <f>INDEX('Data Mahasiswa'!$A$1:$J$701, MATCH('Data Status Pendaftar'!B478, 'Data Mahasiswa'!$A$1:$A$701, 0), 10)</f>
        <v>3.1041666666666665</v>
      </c>
      <c r="J478" s="5" t="str" cm="1">
        <f t="array" ref="J478">INDEX('Data Mahasiswa'!B478:I478,MATCH(MIN(VLOOKUP('Data Mahasiswa'!B478:I478,'Data Mahasiswa'!$N$27:$O$36,2,0)),VLOOKUP('Data Mahasiswa'!B478:I478,'Data Mahasiswa'!$N$27:$O$36,2,0),0))</f>
        <v>C</v>
      </c>
      <c r="K478" s="5" t="str">
        <f t="shared" si="23"/>
        <v>Eligible</v>
      </c>
    </row>
    <row r="479" spans="1:11" x14ac:dyDescent="0.3">
      <c r="A479" s="8">
        <v>478</v>
      </c>
      <c r="B479" s="8" t="s">
        <v>529</v>
      </c>
      <c r="C479" s="8" t="s">
        <v>1226</v>
      </c>
      <c r="D479" s="8" t="s">
        <v>780</v>
      </c>
      <c r="E479" s="9">
        <f t="shared" si="21"/>
        <v>2025</v>
      </c>
      <c r="F479" s="8" t="str">
        <f>INDEX('Data Mahasiswa'!$N$1:$Q$14, MATCH(MID('Data Status Pendaftar'!B479, 5,2), 'Data Mahasiswa'!$N$1:$N$14,0),2)</f>
        <v>Ilmu Sosial</v>
      </c>
      <c r="G479" s="8" t="str" cm="1">
        <f t="array" ref="G479">INDEX('Data Mahasiswa'!$Q$2:$Q$14, MATCH(MID('Data Status Pendaftar'!B479,5,3), 'Data Mahasiswa'!$N$2:$N$14&amp;TEXT('Data Mahasiswa'!$P$2:$P$14,"0"), 0))</f>
        <v>Sosiologi</v>
      </c>
      <c r="H479" s="9">
        <f t="shared" ca="1" si="22"/>
        <v>2</v>
      </c>
      <c r="I479" s="10">
        <f>INDEX('Data Mahasiswa'!$A$1:$J$701, MATCH('Data Status Pendaftar'!B479, 'Data Mahasiswa'!$A$1:$A$701, 0), 10)</f>
        <v>3.3229166666666665</v>
      </c>
      <c r="J479" s="8" t="str" cm="1">
        <f t="array" ref="J479">INDEX('Data Mahasiswa'!B479:I479,MATCH(MIN(VLOOKUP('Data Mahasiswa'!B479:I479,'Data Mahasiswa'!$N$27:$O$36,2,0)),VLOOKUP('Data Mahasiswa'!B479:I479,'Data Mahasiswa'!$N$27:$O$36,2,0),0))</f>
        <v>C</v>
      </c>
      <c r="K479" s="8" t="str">
        <f t="shared" si="23"/>
        <v>Eligible</v>
      </c>
    </row>
    <row r="480" spans="1:11" x14ac:dyDescent="0.3">
      <c r="A480" s="5">
        <v>479</v>
      </c>
      <c r="B480" s="5" t="s">
        <v>530</v>
      </c>
      <c r="C480" s="5" t="s">
        <v>1227</v>
      </c>
      <c r="D480" s="5" t="s">
        <v>779</v>
      </c>
      <c r="E480" s="6">
        <f t="shared" si="21"/>
        <v>2025</v>
      </c>
      <c r="F480" s="5" t="str">
        <f>INDEX('Data Mahasiswa'!$N$1:$Q$14, MATCH(MID('Data Status Pendaftar'!B480, 5,2), 'Data Mahasiswa'!$N$1:$N$14,0),2)</f>
        <v>Ilmu Sosial</v>
      </c>
      <c r="G480" s="5" t="str" cm="1">
        <f t="array" ref="G480">INDEX('Data Mahasiswa'!$Q$2:$Q$14, MATCH(MID('Data Status Pendaftar'!B480,5,3), 'Data Mahasiswa'!$N$2:$N$14&amp;TEXT('Data Mahasiswa'!$P$2:$P$14,"0"), 0))</f>
        <v>Sosiologi</v>
      </c>
      <c r="H480" s="6">
        <f t="shared" ca="1" si="22"/>
        <v>2</v>
      </c>
      <c r="I480" s="7">
        <f>INDEX('Data Mahasiswa'!$A$1:$J$701, MATCH('Data Status Pendaftar'!B480, 'Data Mahasiswa'!$A$1:$A$701, 0), 10)</f>
        <v>3.1458333333333335</v>
      </c>
      <c r="J480" s="5" t="str" cm="1">
        <f t="array" ref="J480">INDEX('Data Mahasiswa'!B480:I480,MATCH(MIN(VLOOKUP('Data Mahasiswa'!B480:I480,'Data Mahasiswa'!$N$27:$O$36,2,0)),VLOOKUP('Data Mahasiswa'!B480:I480,'Data Mahasiswa'!$N$27:$O$36,2,0),0))</f>
        <v>C</v>
      </c>
      <c r="K480" s="5" t="str">
        <f t="shared" si="23"/>
        <v>Eligible</v>
      </c>
    </row>
    <row r="481" spans="1:11" x14ac:dyDescent="0.3">
      <c r="A481" s="8">
        <v>480</v>
      </c>
      <c r="B481" s="8" t="s">
        <v>531</v>
      </c>
      <c r="C481" s="8" t="s">
        <v>1228</v>
      </c>
      <c r="D481" s="8" t="s">
        <v>779</v>
      </c>
      <c r="E481" s="9">
        <f t="shared" si="21"/>
        <v>2025</v>
      </c>
      <c r="F481" s="8" t="str">
        <f>INDEX('Data Mahasiswa'!$N$1:$Q$14, MATCH(MID('Data Status Pendaftar'!B481, 5,2), 'Data Mahasiswa'!$N$1:$N$14,0),2)</f>
        <v>Ilmu Sosial</v>
      </c>
      <c r="G481" s="8" t="str" cm="1">
        <f t="array" ref="G481">INDEX('Data Mahasiswa'!$Q$2:$Q$14, MATCH(MID('Data Status Pendaftar'!B481,5,3), 'Data Mahasiswa'!$N$2:$N$14&amp;TEXT('Data Mahasiswa'!$P$2:$P$14,"0"), 0))</f>
        <v>Sosiologi</v>
      </c>
      <c r="H481" s="9">
        <f t="shared" ca="1" si="22"/>
        <v>2</v>
      </c>
      <c r="I481" s="10">
        <f>INDEX('Data Mahasiswa'!$A$1:$J$701, MATCH('Data Status Pendaftar'!B481, 'Data Mahasiswa'!$A$1:$A$701, 0), 10)</f>
        <v>3.2291666666666665</v>
      </c>
      <c r="J481" s="8" t="str" cm="1">
        <f t="array" ref="J481">INDEX('Data Mahasiswa'!B481:I481,MATCH(MIN(VLOOKUP('Data Mahasiswa'!B481:I481,'Data Mahasiswa'!$N$27:$O$36,2,0)),VLOOKUP('Data Mahasiswa'!B481:I481,'Data Mahasiswa'!$N$27:$O$36,2,0),0))</f>
        <v>B-</v>
      </c>
      <c r="K481" s="8" t="str">
        <f t="shared" si="23"/>
        <v>Eligible</v>
      </c>
    </row>
    <row r="482" spans="1:11" x14ac:dyDescent="0.3">
      <c r="A482" s="5">
        <v>481</v>
      </c>
      <c r="B482" s="5" t="s">
        <v>532</v>
      </c>
      <c r="C482" s="5" t="s">
        <v>1229</v>
      </c>
      <c r="D482" s="5" t="s">
        <v>780</v>
      </c>
      <c r="E482" s="6">
        <f t="shared" si="21"/>
        <v>2025</v>
      </c>
      <c r="F482" s="5" t="str">
        <f>INDEX('Data Mahasiswa'!$N$1:$Q$14, MATCH(MID('Data Status Pendaftar'!B482, 5,2), 'Data Mahasiswa'!$N$1:$N$14,0),2)</f>
        <v>Ilmu Sosial</v>
      </c>
      <c r="G482" s="5" t="str" cm="1">
        <f t="array" ref="G482">INDEX('Data Mahasiswa'!$Q$2:$Q$14, MATCH(MID('Data Status Pendaftar'!B482,5,3), 'Data Mahasiswa'!$N$2:$N$14&amp;TEXT('Data Mahasiswa'!$P$2:$P$14,"0"), 0))</f>
        <v>Sosiologi</v>
      </c>
      <c r="H482" s="6">
        <f t="shared" ca="1" si="22"/>
        <v>2</v>
      </c>
      <c r="I482" s="7">
        <f>INDEX('Data Mahasiswa'!$A$1:$J$701, MATCH('Data Status Pendaftar'!B482, 'Data Mahasiswa'!$A$1:$A$701, 0), 10)</f>
        <v>2.8854166666666665</v>
      </c>
      <c r="J482" s="5" t="str" cm="1">
        <f t="array" ref="J482">INDEX('Data Mahasiswa'!B482:I482,MATCH(MIN(VLOOKUP('Data Mahasiswa'!B482:I482,'Data Mahasiswa'!$N$27:$O$36,2,0)),VLOOKUP('Data Mahasiswa'!B482:I482,'Data Mahasiswa'!$N$27:$O$36,2,0),0))</f>
        <v>C</v>
      </c>
      <c r="K482" s="5" t="str">
        <f t="shared" si="23"/>
        <v>Eligible</v>
      </c>
    </row>
    <row r="483" spans="1:11" x14ac:dyDescent="0.3">
      <c r="A483" s="8">
        <v>482</v>
      </c>
      <c r="B483" s="8" t="s">
        <v>533</v>
      </c>
      <c r="C483" s="8" t="s">
        <v>1230</v>
      </c>
      <c r="D483" s="8" t="s">
        <v>780</v>
      </c>
      <c r="E483" s="9">
        <f t="shared" si="21"/>
        <v>2025</v>
      </c>
      <c r="F483" s="8" t="str">
        <f>INDEX('Data Mahasiswa'!$N$1:$Q$14, MATCH(MID('Data Status Pendaftar'!B483, 5,2), 'Data Mahasiswa'!$N$1:$N$14,0),2)</f>
        <v>Ilmu Sosial</v>
      </c>
      <c r="G483" s="8" t="str" cm="1">
        <f t="array" ref="G483">INDEX('Data Mahasiswa'!$Q$2:$Q$14, MATCH(MID('Data Status Pendaftar'!B483,5,3), 'Data Mahasiswa'!$N$2:$N$14&amp;TEXT('Data Mahasiswa'!$P$2:$P$14,"0"), 0))</f>
        <v>Sosiologi</v>
      </c>
      <c r="H483" s="9">
        <f t="shared" ca="1" si="22"/>
        <v>2</v>
      </c>
      <c r="I483" s="10">
        <f>INDEX('Data Mahasiswa'!$A$1:$J$701, MATCH('Data Status Pendaftar'!B483, 'Data Mahasiswa'!$A$1:$A$701, 0), 10)</f>
        <v>2.8125</v>
      </c>
      <c r="J483" s="8" t="str" cm="1">
        <f t="array" ref="J483">INDEX('Data Mahasiswa'!B483:I483,MATCH(MIN(VLOOKUP('Data Mahasiswa'!B483:I483,'Data Mahasiswa'!$N$27:$O$36,2,0)),VLOOKUP('Data Mahasiswa'!B483:I483,'Data Mahasiswa'!$N$27:$O$36,2,0),0))</f>
        <v>E</v>
      </c>
      <c r="K483" s="8" t="str">
        <f t="shared" si="23"/>
        <v>Tidak Eligible</v>
      </c>
    </row>
    <row r="484" spans="1:11" x14ac:dyDescent="0.3">
      <c r="A484" s="5">
        <v>483</v>
      </c>
      <c r="B484" s="5" t="s">
        <v>534</v>
      </c>
      <c r="C484" s="5" t="s">
        <v>1231</v>
      </c>
      <c r="D484" s="5" t="s">
        <v>780</v>
      </c>
      <c r="E484" s="6">
        <f t="shared" si="21"/>
        <v>2025</v>
      </c>
      <c r="F484" s="5" t="str">
        <f>INDEX('Data Mahasiswa'!$N$1:$Q$14, MATCH(MID('Data Status Pendaftar'!B484, 5,2), 'Data Mahasiswa'!$N$1:$N$14,0),2)</f>
        <v>Ilmu Sosial</v>
      </c>
      <c r="G484" s="5" t="str" cm="1">
        <f t="array" ref="G484">INDEX('Data Mahasiswa'!$Q$2:$Q$14, MATCH(MID('Data Status Pendaftar'!B484,5,3), 'Data Mahasiswa'!$N$2:$N$14&amp;TEXT('Data Mahasiswa'!$P$2:$P$14,"0"), 0))</f>
        <v>Sosiologi</v>
      </c>
      <c r="H484" s="6">
        <f t="shared" ca="1" si="22"/>
        <v>2</v>
      </c>
      <c r="I484" s="7">
        <f>INDEX('Data Mahasiswa'!$A$1:$J$701, MATCH('Data Status Pendaftar'!B484, 'Data Mahasiswa'!$A$1:$A$701, 0), 10)</f>
        <v>3.125</v>
      </c>
      <c r="J484" s="5" t="str" cm="1">
        <f t="array" ref="J484">INDEX('Data Mahasiswa'!B484:I484,MATCH(MIN(VLOOKUP('Data Mahasiswa'!B484:I484,'Data Mahasiswa'!$N$27:$O$36,2,0)),VLOOKUP('Data Mahasiswa'!B484:I484,'Data Mahasiswa'!$N$27:$O$36,2,0),0))</f>
        <v>E</v>
      </c>
      <c r="K484" s="5" t="str">
        <f t="shared" si="23"/>
        <v>Tidak Eligible</v>
      </c>
    </row>
    <row r="485" spans="1:11" x14ac:dyDescent="0.3">
      <c r="A485" s="8">
        <v>484</v>
      </c>
      <c r="B485" s="8" t="s">
        <v>51</v>
      </c>
      <c r="C485" s="8" t="s">
        <v>1232</v>
      </c>
      <c r="D485" s="8" t="s">
        <v>780</v>
      </c>
      <c r="E485" s="9">
        <f t="shared" si="21"/>
        <v>2025</v>
      </c>
      <c r="F485" s="8" t="str">
        <f>INDEX('Data Mahasiswa'!$N$1:$Q$14, MATCH(MID('Data Status Pendaftar'!B485, 5,2), 'Data Mahasiswa'!$N$1:$N$14,0),2)</f>
        <v>Sains</v>
      </c>
      <c r="G485" s="8" t="str" cm="1">
        <f t="array" ref="G485">INDEX('Data Mahasiswa'!$Q$2:$Q$14, MATCH(MID('Data Status Pendaftar'!B485,5,3), 'Data Mahasiswa'!$N$2:$N$14&amp;TEXT('Data Mahasiswa'!$P$2:$P$14,"0"), 0))</f>
        <v>Matematika</v>
      </c>
      <c r="H485" s="9">
        <f t="shared" ca="1" si="22"/>
        <v>2</v>
      </c>
      <c r="I485" s="10">
        <f>INDEX('Data Mahasiswa'!$A$1:$J$701, MATCH('Data Status Pendaftar'!B485, 'Data Mahasiswa'!$A$1:$A$701, 0), 10)</f>
        <v>2.6354166666666665</v>
      </c>
      <c r="J485" s="8" t="str" cm="1">
        <f t="array" ref="J485">INDEX('Data Mahasiswa'!B485:I485,MATCH(MIN(VLOOKUP('Data Mahasiswa'!B485:I485,'Data Mahasiswa'!$N$27:$O$36,2,0)),VLOOKUP('Data Mahasiswa'!B485:I485,'Data Mahasiswa'!$N$27:$O$36,2,0),0))</f>
        <v>D</v>
      </c>
      <c r="K485" s="8" t="str">
        <f t="shared" si="23"/>
        <v>Tidak Eligible</v>
      </c>
    </row>
    <row r="486" spans="1:11" x14ac:dyDescent="0.3">
      <c r="A486" s="5">
        <v>485</v>
      </c>
      <c r="B486" s="5" t="s">
        <v>535</v>
      </c>
      <c r="C486" s="5" t="s">
        <v>1233</v>
      </c>
      <c r="D486" s="5" t="s">
        <v>780</v>
      </c>
      <c r="E486" s="6">
        <f t="shared" si="21"/>
        <v>2025</v>
      </c>
      <c r="F486" s="5" t="str">
        <f>INDEX('Data Mahasiswa'!$N$1:$Q$14, MATCH(MID('Data Status Pendaftar'!B486, 5,2), 'Data Mahasiswa'!$N$1:$N$14,0),2)</f>
        <v>Sains</v>
      </c>
      <c r="G486" s="5" t="str" cm="1">
        <f t="array" ref="G486">INDEX('Data Mahasiswa'!$Q$2:$Q$14, MATCH(MID('Data Status Pendaftar'!B486,5,3), 'Data Mahasiswa'!$N$2:$N$14&amp;TEXT('Data Mahasiswa'!$P$2:$P$14,"0"), 0))</f>
        <v>Matematika</v>
      </c>
      <c r="H486" s="6">
        <f t="shared" ca="1" si="22"/>
        <v>2</v>
      </c>
      <c r="I486" s="7">
        <f>INDEX('Data Mahasiswa'!$A$1:$J$701, MATCH('Data Status Pendaftar'!B486, 'Data Mahasiswa'!$A$1:$A$701, 0), 10)</f>
        <v>3.1145833333333335</v>
      </c>
      <c r="J486" s="5" t="str" cm="1">
        <f t="array" ref="J486">INDEX('Data Mahasiswa'!B486:I486,MATCH(MIN(VLOOKUP('Data Mahasiswa'!B486:I486,'Data Mahasiswa'!$N$27:$O$36,2,0)),VLOOKUP('Data Mahasiswa'!B486:I486,'Data Mahasiswa'!$N$27:$O$36,2,0),0))</f>
        <v>E</v>
      </c>
      <c r="K486" s="5" t="str">
        <f t="shared" si="23"/>
        <v>Tidak Eligible</v>
      </c>
    </row>
    <row r="487" spans="1:11" x14ac:dyDescent="0.3">
      <c r="A487" s="8">
        <v>486</v>
      </c>
      <c r="B487" s="8" t="s">
        <v>536</v>
      </c>
      <c r="C487" s="8" t="s">
        <v>1234</v>
      </c>
      <c r="D487" s="8" t="s">
        <v>780</v>
      </c>
      <c r="E487" s="9">
        <f t="shared" si="21"/>
        <v>2025</v>
      </c>
      <c r="F487" s="8" t="str">
        <f>INDEX('Data Mahasiswa'!$N$1:$Q$14, MATCH(MID('Data Status Pendaftar'!B487, 5,2), 'Data Mahasiswa'!$N$1:$N$14,0),2)</f>
        <v>Sains</v>
      </c>
      <c r="G487" s="8" t="str" cm="1">
        <f t="array" ref="G487">INDEX('Data Mahasiswa'!$Q$2:$Q$14, MATCH(MID('Data Status Pendaftar'!B487,5,3), 'Data Mahasiswa'!$N$2:$N$14&amp;TEXT('Data Mahasiswa'!$P$2:$P$14,"0"), 0))</f>
        <v>Matematika</v>
      </c>
      <c r="H487" s="9">
        <f t="shared" ca="1" si="22"/>
        <v>2</v>
      </c>
      <c r="I487" s="10">
        <f>INDEX('Data Mahasiswa'!$A$1:$J$701, MATCH('Data Status Pendaftar'!B487, 'Data Mahasiswa'!$A$1:$A$701, 0), 10)</f>
        <v>2.9375</v>
      </c>
      <c r="J487" s="8" t="str" cm="1">
        <f t="array" ref="J487">INDEX('Data Mahasiswa'!B487:I487,MATCH(MIN(VLOOKUP('Data Mahasiswa'!B487:I487,'Data Mahasiswa'!$N$27:$O$36,2,0)),VLOOKUP('Data Mahasiswa'!B487:I487,'Data Mahasiswa'!$N$27:$O$36,2,0),0))</f>
        <v>C</v>
      </c>
      <c r="K487" s="8" t="str">
        <f t="shared" si="23"/>
        <v>Eligible</v>
      </c>
    </row>
    <row r="488" spans="1:11" x14ac:dyDescent="0.3">
      <c r="A488" s="5">
        <v>487</v>
      </c>
      <c r="B488" s="5" t="s">
        <v>537</v>
      </c>
      <c r="C488" s="5" t="s">
        <v>1235</v>
      </c>
      <c r="D488" s="5" t="s">
        <v>780</v>
      </c>
      <c r="E488" s="6">
        <f t="shared" si="21"/>
        <v>2025</v>
      </c>
      <c r="F488" s="5" t="str">
        <f>INDEX('Data Mahasiswa'!$N$1:$Q$14, MATCH(MID('Data Status Pendaftar'!B488, 5,2), 'Data Mahasiswa'!$N$1:$N$14,0),2)</f>
        <v>Sains</v>
      </c>
      <c r="G488" s="5" t="str" cm="1">
        <f t="array" ref="G488">INDEX('Data Mahasiswa'!$Q$2:$Q$14, MATCH(MID('Data Status Pendaftar'!B488,5,3), 'Data Mahasiswa'!$N$2:$N$14&amp;TEXT('Data Mahasiswa'!$P$2:$P$14,"0"), 0))</f>
        <v>Matematika</v>
      </c>
      <c r="H488" s="6">
        <f t="shared" ca="1" si="22"/>
        <v>2</v>
      </c>
      <c r="I488" s="7">
        <f>INDEX('Data Mahasiswa'!$A$1:$J$701, MATCH('Data Status Pendaftar'!B488, 'Data Mahasiswa'!$A$1:$A$701, 0), 10)</f>
        <v>3.1666666666666665</v>
      </c>
      <c r="J488" s="5" t="str" cm="1">
        <f t="array" ref="J488">INDEX('Data Mahasiswa'!B488:I488,MATCH(MIN(VLOOKUP('Data Mahasiswa'!B488:I488,'Data Mahasiswa'!$N$27:$O$36,2,0)),VLOOKUP('Data Mahasiswa'!B488:I488,'Data Mahasiswa'!$N$27:$O$36,2,0),0))</f>
        <v>C+</v>
      </c>
      <c r="K488" s="5" t="str">
        <f t="shared" si="23"/>
        <v>Eligible</v>
      </c>
    </row>
    <row r="489" spans="1:11" x14ac:dyDescent="0.3">
      <c r="A489" s="8">
        <v>488</v>
      </c>
      <c r="B489" s="8" t="s">
        <v>538</v>
      </c>
      <c r="C489" s="8" t="s">
        <v>1236</v>
      </c>
      <c r="D489" s="8" t="s">
        <v>779</v>
      </c>
      <c r="E489" s="9">
        <f t="shared" si="21"/>
        <v>2025</v>
      </c>
      <c r="F489" s="8" t="str">
        <f>INDEX('Data Mahasiswa'!$N$1:$Q$14, MATCH(MID('Data Status Pendaftar'!B489, 5,2), 'Data Mahasiswa'!$N$1:$N$14,0),2)</f>
        <v>Sains</v>
      </c>
      <c r="G489" s="8" t="str" cm="1">
        <f t="array" ref="G489">INDEX('Data Mahasiswa'!$Q$2:$Q$14, MATCH(MID('Data Status Pendaftar'!B489,5,3), 'Data Mahasiswa'!$N$2:$N$14&amp;TEXT('Data Mahasiswa'!$P$2:$P$14,"0"), 0))</f>
        <v>Matematika</v>
      </c>
      <c r="H489" s="9">
        <f t="shared" ca="1" si="22"/>
        <v>2</v>
      </c>
      <c r="I489" s="10">
        <f>INDEX('Data Mahasiswa'!$A$1:$J$701, MATCH('Data Status Pendaftar'!B489, 'Data Mahasiswa'!$A$1:$A$701, 0), 10)</f>
        <v>3.2083333333333335</v>
      </c>
      <c r="J489" s="8" t="str" cm="1">
        <f t="array" ref="J489">INDEX('Data Mahasiswa'!B489:I489,MATCH(MIN(VLOOKUP('Data Mahasiswa'!B489:I489,'Data Mahasiswa'!$N$27:$O$36,2,0)),VLOOKUP('Data Mahasiswa'!B489:I489,'Data Mahasiswa'!$N$27:$O$36,2,0),0))</f>
        <v>C+</v>
      </c>
      <c r="K489" s="8" t="str">
        <f t="shared" si="23"/>
        <v>Eligible</v>
      </c>
    </row>
    <row r="490" spans="1:11" x14ac:dyDescent="0.3">
      <c r="A490" s="5">
        <v>489</v>
      </c>
      <c r="B490" s="5" t="s">
        <v>539</v>
      </c>
      <c r="C490" s="5" t="s">
        <v>1237</v>
      </c>
      <c r="D490" s="5" t="s">
        <v>779</v>
      </c>
      <c r="E490" s="6">
        <f t="shared" si="21"/>
        <v>2025</v>
      </c>
      <c r="F490" s="5" t="str">
        <f>INDEX('Data Mahasiswa'!$N$1:$Q$14, MATCH(MID('Data Status Pendaftar'!B490, 5,2), 'Data Mahasiswa'!$N$1:$N$14,0),2)</f>
        <v>Sains</v>
      </c>
      <c r="G490" s="5" t="str" cm="1">
        <f t="array" ref="G490">INDEX('Data Mahasiswa'!$Q$2:$Q$14, MATCH(MID('Data Status Pendaftar'!B490,5,3), 'Data Mahasiswa'!$N$2:$N$14&amp;TEXT('Data Mahasiswa'!$P$2:$P$14,"0"), 0))</f>
        <v>Matematika</v>
      </c>
      <c r="H490" s="6">
        <f t="shared" ca="1" si="22"/>
        <v>2</v>
      </c>
      <c r="I490" s="7">
        <f>INDEX('Data Mahasiswa'!$A$1:$J$701, MATCH('Data Status Pendaftar'!B490, 'Data Mahasiswa'!$A$1:$A$701, 0), 10)</f>
        <v>2.9895833333333335</v>
      </c>
      <c r="J490" s="5" t="str" cm="1">
        <f t="array" ref="J490">INDEX('Data Mahasiswa'!B490:I490,MATCH(MIN(VLOOKUP('Data Mahasiswa'!B490:I490,'Data Mahasiswa'!$N$27:$O$36,2,0)),VLOOKUP('Data Mahasiswa'!B490:I490,'Data Mahasiswa'!$N$27:$O$36,2,0),0))</f>
        <v>E</v>
      </c>
      <c r="K490" s="5" t="str">
        <f t="shared" si="23"/>
        <v>Tidak Eligible</v>
      </c>
    </row>
    <row r="491" spans="1:11" x14ac:dyDescent="0.3">
      <c r="A491" s="8">
        <v>490</v>
      </c>
      <c r="B491" s="8" t="s">
        <v>540</v>
      </c>
      <c r="C491" s="8" t="s">
        <v>1238</v>
      </c>
      <c r="D491" s="8" t="s">
        <v>779</v>
      </c>
      <c r="E491" s="9">
        <f t="shared" si="21"/>
        <v>2025</v>
      </c>
      <c r="F491" s="8" t="str">
        <f>INDEX('Data Mahasiswa'!$N$1:$Q$14, MATCH(MID('Data Status Pendaftar'!B491, 5,2), 'Data Mahasiswa'!$N$1:$N$14,0),2)</f>
        <v>Sains</v>
      </c>
      <c r="G491" s="8" t="str" cm="1">
        <f t="array" ref="G491">INDEX('Data Mahasiswa'!$Q$2:$Q$14, MATCH(MID('Data Status Pendaftar'!B491,5,3), 'Data Mahasiswa'!$N$2:$N$14&amp;TEXT('Data Mahasiswa'!$P$2:$P$14,"0"), 0))</f>
        <v>Matematika</v>
      </c>
      <c r="H491" s="9">
        <f t="shared" ca="1" si="22"/>
        <v>2</v>
      </c>
      <c r="I491" s="10">
        <f>INDEX('Data Mahasiswa'!$A$1:$J$701, MATCH('Data Status Pendaftar'!B491, 'Data Mahasiswa'!$A$1:$A$701, 0), 10)</f>
        <v>3.3541666666666665</v>
      </c>
      <c r="J491" s="8" t="str" cm="1">
        <f t="array" ref="J491">INDEX('Data Mahasiswa'!B491:I491,MATCH(MIN(VLOOKUP('Data Mahasiswa'!B491:I491,'Data Mahasiswa'!$N$27:$O$36,2,0)),VLOOKUP('Data Mahasiswa'!B491:I491,'Data Mahasiswa'!$N$27:$O$36,2,0),0))</f>
        <v>C+</v>
      </c>
      <c r="K491" s="8" t="str">
        <f t="shared" si="23"/>
        <v>Eligible</v>
      </c>
    </row>
    <row r="492" spans="1:11" x14ac:dyDescent="0.3">
      <c r="A492" s="5">
        <v>491</v>
      </c>
      <c r="B492" s="5" t="s">
        <v>541</v>
      </c>
      <c r="C492" s="5" t="s">
        <v>1239</v>
      </c>
      <c r="D492" s="5" t="s">
        <v>779</v>
      </c>
      <c r="E492" s="6">
        <f t="shared" si="21"/>
        <v>2025</v>
      </c>
      <c r="F492" s="5" t="str">
        <f>INDEX('Data Mahasiswa'!$N$1:$Q$14, MATCH(MID('Data Status Pendaftar'!B492, 5,2), 'Data Mahasiswa'!$N$1:$N$14,0),2)</f>
        <v>Sains</v>
      </c>
      <c r="G492" s="5" t="str" cm="1">
        <f t="array" ref="G492">INDEX('Data Mahasiswa'!$Q$2:$Q$14, MATCH(MID('Data Status Pendaftar'!B492,5,3), 'Data Mahasiswa'!$N$2:$N$14&amp;TEXT('Data Mahasiswa'!$P$2:$P$14,"0"), 0))</f>
        <v>Matematika</v>
      </c>
      <c r="H492" s="6">
        <f t="shared" ca="1" si="22"/>
        <v>2</v>
      </c>
      <c r="I492" s="7">
        <f>INDEX('Data Mahasiswa'!$A$1:$J$701, MATCH('Data Status Pendaftar'!B492, 'Data Mahasiswa'!$A$1:$A$701, 0), 10)</f>
        <v>3.0416666666666665</v>
      </c>
      <c r="J492" s="5" t="str" cm="1">
        <f t="array" ref="J492">INDEX('Data Mahasiswa'!B492:I492,MATCH(MIN(VLOOKUP('Data Mahasiswa'!B492:I492,'Data Mahasiswa'!$N$27:$O$36,2,0)),VLOOKUP('Data Mahasiswa'!B492:I492,'Data Mahasiswa'!$N$27:$O$36,2,0),0))</f>
        <v>E</v>
      </c>
      <c r="K492" s="5" t="str">
        <f t="shared" si="23"/>
        <v>Tidak Eligible</v>
      </c>
    </row>
    <row r="493" spans="1:11" x14ac:dyDescent="0.3">
      <c r="A493" s="8">
        <v>492</v>
      </c>
      <c r="B493" s="8" t="s">
        <v>542</v>
      </c>
      <c r="C493" s="8" t="s">
        <v>889</v>
      </c>
      <c r="D493" s="8" t="s">
        <v>779</v>
      </c>
      <c r="E493" s="9">
        <f t="shared" si="21"/>
        <v>2025</v>
      </c>
      <c r="F493" s="8" t="str">
        <f>INDEX('Data Mahasiswa'!$N$1:$Q$14, MATCH(MID('Data Status Pendaftar'!B493, 5,2), 'Data Mahasiswa'!$N$1:$N$14,0),2)</f>
        <v>Sains</v>
      </c>
      <c r="G493" s="8" t="str" cm="1">
        <f t="array" ref="G493">INDEX('Data Mahasiswa'!$Q$2:$Q$14, MATCH(MID('Data Status Pendaftar'!B493,5,3), 'Data Mahasiswa'!$N$2:$N$14&amp;TEXT('Data Mahasiswa'!$P$2:$P$14,"0"), 0))</f>
        <v>Matematika</v>
      </c>
      <c r="H493" s="9">
        <f t="shared" ca="1" si="22"/>
        <v>2</v>
      </c>
      <c r="I493" s="10">
        <f>INDEX('Data Mahasiswa'!$A$1:$J$701, MATCH('Data Status Pendaftar'!B493, 'Data Mahasiswa'!$A$1:$A$701, 0), 10)</f>
        <v>2.8020833333333335</v>
      </c>
      <c r="J493" s="8" t="str" cm="1">
        <f t="array" ref="J493">INDEX('Data Mahasiswa'!B493:I493,MATCH(MIN(VLOOKUP('Data Mahasiswa'!B493:I493,'Data Mahasiswa'!$N$27:$O$36,2,0)),VLOOKUP('Data Mahasiswa'!B493:I493,'Data Mahasiswa'!$N$27:$O$36,2,0),0))</f>
        <v>C</v>
      </c>
      <c r="K493" s="8" t="str">
        <f t="shared" si="23"/>
        <v>Eligible</v>
      </c>
    </row>
    <row r="494" spans="1:11" x14ac:dyDescent="0.3">
      <c r="A494" s="5">
        <v>493</v>
      </c>
      <c r="B494" s="5" t="s">
        <v>543</v>
      </c>
      <c r="C494" s="5" t="s">
        <v>1064</v>
      </c>
      <c r="D494" s="5" t="s">
        <v>780</v>
      </c>
      <c r="E494" s="6">
        <f t="shared" si="21"/>
        <v>2025</v>
      </c>
      <c r="F494" s="5" t="str">
        <f>INDEX('Data Mahasiswa'!$N$1:$Q$14, MATCH(MID('Data Status Pendaftar'!B494, 5,2), 'Data Mahasiswa'!$N$1:$N$14,0),2)</f>
        <v>Sains</v>
      </c>
      <c r="G494" s="5" t="str" cm="1">
        <f t="array" ref="G494">INDEX('Data Mahasiswa'!$Q$2:$Q$14, MATCH(MID('Data Status Pendaftar'!B494,5,3), 'Data Mahasiswa'!$N$2:$N$14&amp;TEXT('Data Mahasiswa'!$P$2:$P$14,"0"), 0))</f>
        <v>Matematika</v>
      </c>
      <c r="H494" s="6">
        <f t="shared" ca="1" si="22"/>
        <v>2</v>
      </c>
      <c r="I494" s="7">
        <f>INDEX('Data Mahasiswa'!$A$1:$J$701, MATCH('Data Status Pendaftar'!B494, 'Data Mahasiswa'!$A$1:$A$701, 0), 10)</f>
        <v>2.6770833333333335</v>
      </c>
      <c r="J494" s="5" t="str" cm="1">
        <f t="array" ref="J494">INDEX('Data Mahasiswa'!B494:I494,MATCH(MIN(VLOOKUP('Data Mahasiswa'!B494:I494,'Data Mahasiswa'!$N$27:$O$36,2,0)),VLOOKUP('Data Mahasiswa'!B494:I494,'Data Mahasiswa'!$N$27:$O$36,2,0),0))</f>
        <v>C</v>
      </c>
      <c r="K494" s="5" t="str">
        <f t="shared" si="23"/>
        <v>Tidak Eligible</v>
      </c>
    </row>
    <row r="495" spans="1:11" x14ac:dyDescent="0.3">
      <c r="A495" s="8">
        <v>494</v>
      </c>
      <c r="B495" s="8" t="s">
        <v>544</v>
      </c>
      <c r="C495" s="8" t="s">
        <v>1240</v>
      </c>
      <c r="D495" s="8" t="s">
        <v>780</v>
      </c>
      <c r="E495" s="9">
        <f t="shared" si="21"/>
        <v>2025</v>
      </c>
      <c r="F495" s="8" t="str">
        <f>INDEX('Data Mahasiswa'!$N$1:$Q$14, MATCH(MID('Data Status Pendaftar'!B495, 5,2), 'Data Mahasiswa'!$N$1:$N$14,0),2)</f>
        <v>Sains</v>
      </c>
      <c r="G495" s="8" t="str" cm="1">
        <f t="array" ref="G495">INDEX('Data Mahasiswa'!$Q$2:$Q$14, MATCH(MID('Data Status Pendaftar'!B495,5,3), 'Data Mahasiswa'!$N$2:$N$14&amp;TEXT('Data Mahasiswa'!$P$2:$P$14,"0"), 0))</f>
        <v>Matematika</v>
      </c>
      <c r="H495" s="9">
        <f t="shared" ca="1" si="22"/>
        <v>2</v>
      </c>
      <c r="I495" s="10">
        <f>INDEX('Data Mahasiswa'!$A$1:$J$701, MATCH('Data Status Pendaftar'!B495, 'Data Mahasiswa'!$A$1:$A$701, 0), 10)</f>
        <v>2.9270833333333335</v>
      </c>
      <c r="J495" s="8" t="str" cm="1">
        <f t="array" ref="J495">INDEX('Data Mahasiswa'!B495:I495,MATCH(MIN(VLOOKUP('Data Mahasiswa'!B495:I495,'Data Mahasiswa'!$N$27:$O$36,2,0)),VLOOKUP('Data Mahasiswa'!B495:I495,'Data Mahasiswa'!$N$27:$O$36,2,0),0))</f>
        <v>D</v>
      </c>
      <c r="K495" s="8" t="str">
        <f t="shared" si="23"/>
        <v>Tidak Eligible</v>
      </c>
    </row>
    <row r="496" spans="1:11" x14ac:dyDescent="0.3">
      <c r="A496" s="5">
        <v>495</v>
      </c>
      <c r="B496" s="5" t="s">
        <v>545</v>
      </c>
      <c r="C496" s="5" t="s">
        <v>1241</v>
      </c>
      <c r="D496" s="5" t="s">
        <v>780</v>
      </c>
      <c r="E496" s="6">
        <f t="shared" si="21"/>
        <v>2025</v>
      </c>
      <c r="F496" s="5" t="str">
        <f>INDEX('Data Mahasiswa'!$N$1:$Q$14, MATCH(MID('Data Status Pendaftar'!B496, 5,2), 'Data Mahasiswa'!$N$1:$N$14,0),2)</f>
        <v>Sains</v>
      </c>
      <c r="G496" s="5" t="str" cm="1">
        <f t="array" ref="G496">INDEX('Data Mahasiswa'!$Q$2:$Q$14, MATCH(MID('Data Status Pendaftar'!B496,5,3), 'Data Mahasiswa'!$N$2:$N$14&amp;TEXT('Data Mahasiswa'!$P$2:$P$14,"0"), 0))</f>
        <v>Matematika</v>
      </c>
      <c r="H496" s="6">
        <f t="shared" ca="1" si="22"/>
        <v>2</v>
      </c>
      <c r="I496" s="7">
        <f>INDEX('Data Mahasiswa'!$A$1:$J$701, MATCH('Data Status Pendaftar'!B496, 'Data Mahasiswa'!$A$1:$A$701, 0), 10)</f>
        <v>2.7083333333333335</v>
      </c>
      <c r="J496" s="5" t="str" cm="1">
        <f t="array" ref="J496">INDEX('Data Mahasiswa'!B496:I496,MATCH(MIN(VLOOKUP('Data Mahasiswa'!B496:I496,'Data Mahasiswa'!$N$27:$O$36,2,0)),VLOOKUP('Data Mahasiswa'!B496:I496,'Data Mahasiswa'!$N$27:$O$36,2,0),0))</f>
        <v>E</v>
      </c>
      <c r="K496" s="5" t="str">
        <f t="shared" si="23"/>
        <v>Tidak Eligible</v>
      </c>
    </row>
    <row r="497" spans="1:11" x14ac:dyDescent="0.3">
      <c r="A497" s="8">
        <v>496</v>
      </c>
      <c r="B497" s="8" t="s">
        <v>546</v>
      </c>
      <c r="C497" s="8" t="s">
        <v>1090</v>
      </c>
      <c r="D497" s="8" t="s">
        <v>779</v>
      </c>
      <c r="E497" s="9">
        <f t="shared" si="21"/>
        <v>2025</v>
      </c>
      <c r="F497" s="8" t="str">
        <f>INDEX('Data Mahasiswa'!$N$1:$Q$14, MATCH(MID('Data Status Pendaftar'!B497, 5,2), 'Data Mahasiswa'!$N$1:$N$14,0),2)</f>
        <v>Sains</v>
      </c>
      <c r="G497" s="8" t="str" cm="1">
        <f t="array" ref="G497">INDEX('Data Mahasiswa'!$Q$2:$Q$14, MATCH(MID('Data Status Pendaftar'!B497,5,3), 'Data Mahasiswa'!$N$2:$N$14&amp;TEXT('Data Mahasiswa'!$P$2:$P$14,"0"), 0))</f>
        <v>Matematika</v>
      </c>
      <c r="H497" s="9">
        <f t="shared" ca="1" si="22"/>
        <v>2</v>
      </c>
      <c r="I497" s="10">
        <f>INDEX('Data Mahasiswa'!$A$1:$J$701, MATCH('Data Status Pendaftar'!B497, 'Data Mahasiswa'!$A$1:$A$701, 0), 10)</f>
        <v>2.8229166666666665</v>
      </c>
      <c r="J497" s="8" t="str" cm="1">
        <f t="array" ref="J497">INDEX('Data Mahasiswa'!B497:I497,MATCH(MIN(VLOOKUP('Data Mahasiswa'!B497:I497,'Data Mahasiswa'!$N$27:$O$36,2,0)),VLOOKUP('Data Mahasiswa'!B497:I497,'Data Mahasiswa'!$N$27:$O$36,2,0),0))</f>
        <v>E</v>
      </c>
      <c r="K497" s="8" t="str">
        <f t="shared" si="23"/>
        <v>Tidak Eligible</v>
      </c>
    </row>
    <row r="498" spans="1:11" x14ac:dyDescent="0.3">
      <c r="A498" s="5">
        <v>497</v>
      </c>
      <c r="B498" s="5" t="s">
        <v>547</v>
      </c>
      <c r="C498" s="5" t="s">
        <v>1242</v>
      </c>
      <c r="D498" s="5" t="s">
        <v>779</v>
      </c>
      <c r="E498" s="6">
        <f t="shared" si="21"/>
        <v>2025</v>
      </c>
      <c r="F498" s="5" t="str">
        <f>INDEX('Data Mahasiswa'!$N$1:$Q$14, MATCH(MID('Data Status Pendaftar'!B498, 5,2), 'Data Mahasiswa'!$N$1:$N$14,0),2)</f>
        <v>Sains</v>
      </c>
      <c r="G498" s="5" t="str" cm="1">
        <f t="array" ref="G498">INDEX('Data Mahasiswa'!$Q$2:$Q$14, MATCH(MID('Data Status Pendaftar'!B498,5,3), 'Data Mahasiswa'!$N$2:$N$14&amp;TEXT('Data Mahasiswa'!$P$2:$P$14,"0"), 0))</f>
        <v>Matematika</v>
      </c>
      <c r="H498" s="6">
        <f t="shared" ca="1" si="22"/>
        <v>2</v>
      </c>
      <c r="I498" s="7">
        <f>INDEX('Data Mahasiswa'!$A$1:$J$701, MATCH('Data Status Pendaftar'!B498, 'Data Mahasiswa'!$A$1:$A$701, 0), 10)</f>
        <v>2.4583333333333335</v>
      </c>
      <c r="J498" s="5" t="str" cm="1">
        <f t="array" ref="J498">INDEX('Data Mahasiswa'!B498:I498,MATCH(MIN(VLOOKUP('Data Mahasiswa'!B498:I498,'Data Mahasiswa'!$N$27:$O$36,2,0)),VLOOKUP('Data Mahasiswa'!B498:I498,'Data Mahasiswa'!$N$27:$O$36,2,0),0))</f>
        <v>C</v>
      </c>
      <c r="K498" s="5" t="str">
        <f t="shared" si="23"/>
        <v>Tidak Eligible</v>
      </c>
    </row>
    <row r="499" spans="1:11" x14ac:dyDescent="0.3">
      <c r="A499" s="8">
        <v>498</v>
      </c>
      <c r="B499" s="8" t="s">
        <v>548</v>
      </c>
      <c r="C499" s="8" t="s">
        <v>1243</v>
      </c>
      <c r="D499" s="8" t="s">
        <v>780</v>
      </c>
      <c r="E499" s="9">
        <f t="shared" si="21"/>
        <v>2025</v>
      </c>
      <c r="F499" s="8" t="str">
        <f>INDEX('Data Mahasiswa'!$N$1:$Q$14, MATCH(MID('Data Status Pendaftar'!B499, 5,2), 'Data Mahasiswa'!$N$1:$N$14,0),2)</f>
        <v>Sains</v>
      </c>
      <c r="G499" s="8" t="str" cm="1">
        <f t="array" ref="G499">INDEX('Data Mahasiswa'!$Q$2:$Q$14, MATCH(MID('Data Status Pendaftar'!B499,5,3), 'Data Mahasiswa'!$N$2:$N$14&amp;TEXT('Data Mahasiswa'!$P$2:$P$14,"0"), 0))</f>
        <v>Matematika</v>
      </c>
      <c r="H499" s="9">
        <f t="shared" ca="1" si="22"/>
        <v>2</v>
      </c>
      <c r="I499" s="10">
        <f>INDEX('Data Mahasiswa'!$A$1:$J$701, MATCH('Data Status Pendaftar'!B499, 'Data Mahasiswa'!$A$1:$A$701, 0), 10)</f>
        <v>3.0416666666666665</v>
      </c>
      <c r="J499" s="8" t="str" cm="1">
        <f t="array" ref="J499">INDEX('Data Mahasiswa'!B499:I499,MATCH(MIN(VLOOKUP('Data Mahasiswa'!B499:I499,'Data Mahasiswa'!$N$27:$O$36,2,0)),VLOOKUP('Data Mahasiswa'!B499:I499,'Data Mahasiswa'!$N$27:$O$36,2,0),0))</f>
        <v>D</v>
      </c>
      <c r="K499" s="8" t="str">
        <f t="shared" si="23"/>
        <v>Tidak Eligible</v>
      </c>
    </row>
    <row r="500" spans="1:11" x14ac:dyDescent="0.3">
      <c r="A500" s="5">
        <v>499</v>
      </c>
      <c r="B500" s="5" t="s">
        <v>549</v>
      </c>
      <c r="C500" s="5" t="s">
        <v>1244</v>
      </c>
      <c r="D500" s="5" t="s">
        <v>779</v>
      </c>
      <c r="E500" s="6">
        <f t="shared" si="21"/>
        <v>2025</v>
      </c>
      <c r="F500" s="5" t="str">
        <f>INDEX('Data Mahasiswa'!$N$1:$Q$14, MATCH(MID('Data Status Pendaftar'!B500, 5,2), 'Data Mahasiswa'!$N$1:$N$14,0),2)</f>
        <v>Sains</v>
      </c>
      <c r="G500" s="5" t="str" cm="1">
        <f t="array" ref="G500">INDEX('Data Mahasiswa'!$Q$2:$Q$14, MATCH(MID('Data Status Pendaftar'!B500,5,3), 'Data Mahasiswa'!$N$2:$N$14&amp;TEXT('Data Mahasiswa'!$P$2:$P$14,"0"), 0))</f>
        <v>Matematika</v>
      </c>
      <c r="H500" s="6">
        <f t="shared" ca="1" si="22"/>
        <v>2</v>
      </c>
      <c r="I500" s="7">
        <f>INDEX('Data Mahasiswa'!$A$1:$J$701, MATCH('Data Status Pendaftar'!B500, 'Data Mahasiswa'!$A$1:$A$701, 0), 10)</f>
        <v>2.3020833333333335</v>
      </c>
      <c r="J500" s="5" t="str" cm="1">
        <f t="array" ref="J500">INDEX('Data Mahasiswa'!B500:I500,MATCH(MIN(VLOOKUP('Data Mahasiswa'!B500:I500,'Data Mahasiswa'!$N$27:$O$36,2,0)),VLOOKUP('Data Mahasiswa'!B500:I500,'Data Mahasiswa'!$N$27:$O$36,2,0),0))</f>
        <v>D</v>
      </c>
      <c r="K500" s="5" t="str">
        <f t="shared" si="23"/>
        <v>Tidak Eligible</v>
      </c>
    </row>
    <row r="501" spans="1:11" x14ac:dyDescent="0.3">
      <c r="A501" s="8">
        <v>500</v>
      </c>
      <c r="B501" s="8" t="s">
        <v>550</v>
      </c>
      <c r="C501" s="8" t="s">
        <v>848</v>
      </c>
      <c r="D501" s="8" t="s">
        <v>779</v>
      </c>
      <c r="E501" s="9">
        <f t="shared" si="21"/>
        <v>2025</v>
      </c>
      <c r="F501" s="8" t="str">
        <f>INDEX('Data Mahasiswa'!$N$1:$Q$14, MATCH(MID('Data Status Pendaftar'!B501, 5,2), 'Data Mahasiswa'!$N$1:$N$14,0),2)</f>
        <v>Sains</v>
      </c>
      <c r="G501" s="8" t="str" cm="1">
        <f t="array" ref="G501">INDEX('Data Mahasiswa'!$Q$2:$Q$14, MATCH(MID('Data Status Pendaftar'!B501,5,3), 'Data Mahasiswa'!$N$2:$N$14&amp;TEXT('Data Mahasiswa'!$P$2:$P$14,"0"), 0))</f>
        <v>Matematika</v>
      </c>
      <c r="H501" s="9">
        <f t="shared" ca="1" si="22"/>
        <v>2</v>
      </c>
      <c r="I501" s="10">
        <f>INDEX('Data Mahasiswa'!$A$1:$J$701, MATCH('Data Status Pendaftar'!B501, 'Data Mahasiswa'!$A$1:$A$701, 0), 10)</f>
        <v>2.84375</v>
      </c>
      <c r="J501" s="8" t="str" cm="1">
        <f t="array" ref="J501">INDEX('Data Mahasiswa'!B501:I501,MATCH(MIN(VLOOKUP('Data Mahasiswa'!B501:I501,'Data Mahasiswa'!$N$27:$O$36,2,0)),VLOOKUP('Data Mahasiswa'!B501:I501,'Data Mahasiswa'!$N$27:$O$36,2,0),0))</f>
        <v>E</v>
      </c>
      <c r="K501" s="8" t="str">
        <f t="shared" si="23"/>
        <v>Tidak Eligible</v>
      </c>
    </row>
    <row r="502" spans="1:11" x14ac:dyDescent="0.3">
      <c r="A502" s="5">
        <v>501</v>
      </c>
      <c r="B502" s="5" t="s">
        <v>551</v>
      </c>
      <c r="C502" s="5" t="s">
        <v>1043</v>
      </c>
      <c r="D502" s="5" t="s">
        <v>779</v>
      </c>
      <c r="E502" s="6">
        <f t="shared" si="21"/>
        <v>2025</v>
      </c>
      <c r="F502" s="5" t="str">
        <f>INDEX('Data Mahasiswa'!$N$1:$Q$14, MATCH(MID('Data Status Pendaftar'!B502, 5,2), 'Data Mahasiswa'!$N$1:$N$14,0),2)</f>
        <v>Sains</v>
      </c>
      <c r="G502" s="5" t="str" cm="1">
        <f t="array" ref="G502">INDEX('Data Mahasiswa'!$Q$2:$Q$14, MATCH(MID('Data Status Pendaftar'!B502,5,3), 'Data Mahasiswa'!$N$2:$N$14&amp;TEXT('Data Mahasiswa'!$P$2:$P$14,"0"), 0))</f>
        <v>Matematika</v>
      </c>
      <c r="H502" s="6">
        <f t="shared" ca="1" si="22"/>
        <v>2</v>
      </c>
      <c r="I502" s="7">
        <f>INDEX('Data Mahasiswa'!$A$1:$J$701, MATCH('Data Status Pendaftar'!B502, 'Data Mahasiswa'!$A$1:$A$701, 0), 10)</f>
        <v>3.3125</v>
      </c>
      <c r="J502" s="5" t="str" cm="1">
        <f t="array" ref="J502">INDEX('Data Mahasiswa'!B502:I502,MATCH(MIN(VLOOKUP('Data Mahasiswa'!B502:I502,'Data Mahasiswa'!$N$27:$O$36,2,0)),VLOOKUP('Data Mahasiswa'!B502:I502,'Data Mahasiswa'!$N$27:$O$36,2,0),0))</f>
        <v>C+</v>
      </c>
      <c r="K502" s="5" t="str">
        <f t="shared" si="23"/>
        <v>Eligible</v>
      </c>
    </row>
    <row r="503" spans="1:11" x14ac:dyDescent="0.3">
      <c r="A503" s="8">
        <v>502</v>
      </c>
      <c r="B503" s="8" t="s">
        <v>552</v>
      </c>
      <c r="C503" s="8" t="s">
        <v>1245</v>
      </c>
      <c r="D503" s="8" t="s">
        <v>779</v>
      </c>
      <c r="E503" s="9">
        <f t="shared" si="21"/>
        <v>2025</v>
      </c>
      <c r="F503" s="8" t="str">
        <f>INDEX('Data Mahasiswa'!$N$1:$Q$14, MATCH(MID('Data Status Pendaftar'!B503, 5,2), 'Data Mahasiswa'!$N$1:$N$14,0),2)</f>
        <v>Sains</v>
      </c>
      <c r="G503" s="8" t="str" cm="1">
        <f t="array" ref="G503">INDEX('Data Mahasiswa'!$Q$2:$Q$14, MATCH(MID('Data Status Pendaftar'!B503,5,3), 'Data Mahasiswa'!$N$2:$N$14&amp;TEXT('Data Mahasiswa'!$P$2:$P$14,"0"), 0))</f>
        <v>Matematika</v>
      </c>
      <c r="H503" s="9">
        <f t="shared" ca="1" si="22"/>
        <v>2</v>
      </c>
      <c r="I503" s="10">
        <f>INDEX('Data Mahasiswa'!$A$1:$J$701, MATCH('Data Status Pendaftar'!B503, 'Data Mahasiswa'!$A$1:$A$701, 0), 10)</f>
        <v>3.0520833333333335</v>
      </c>
      <c r="J503" s="8" t="str" cm="1">
        <f t="array" ref="J503">INDEX('Data Mahasiswa'!B503:I503,MATCH(MIN(VLOOKUP('Data Mahasiswa'!B503:I503,'Data Mahasiswa'!$N$27:$O$36,2,0)),VLOOKUP('Data Mahasiswa'!B503:I503,'Data Mahasiswa'!$N$27:$O$36,2,0),0))</f>
        <v>D</v>
      </c>
      <c r="K503" s="8" t="str">
        <f t="shared" si="23"/>
        <v>Tidak Eligible</v>
      </c>
    </row>
    <row r="504" spans="1:11" x14ac:dyDescent="0.3">
      <c r="A504" s="5">
        <v>503</v>
      </c>
      <c r="B504" s="5" t="s">
        <v>553</v>
      </c>
      <c r="C504" s="5" t="s">
        <v>1246</v>
      </c>
      <c r="D504" s="5" t="s">
        <v>779</v>
      </c>
      <c r="E504" s="6">
        <f t="shared" si="21"/>
        <v>2025</v>
      </c>
      <c r="F504" s="5" t="str">
        <f>INDEX('Data Mahasiswa'!$N$1:$Q$14, MATCH(MID('Data Status Pendaftar'!B504, 5,2), 'Data Mahasiswa'!$N$1:$N$14,0),2)</f>
        <v>Sains</v>
      </c>
      <c r="G504" s="5" t="str" cm="1">
        <f t="array" ref="G504">INDEX('Data Mahasiswa'!$Q$2:$Q$14, MATCH(MID('Data Status Pendaftar'!B504,5,3), 'Data Mahasiswa'!$N$2:$N$14&amp;TEXT('Data Mahasiswa'!$P$2:$P$14,"0"), 0))</f>
        <v>Matematika</v>
      </c>
      <c r="H504" s="6">
        <f t="shared" ca="1" si="22"/>
        <v>2</v>
      </c>
      <c r="I504" s="7">
        <f>INDEX('Data Mahasiswa'!$A$1:$J$701, MATCH('Data Status Pendaftar'!B504, 'Data Mahasiswa'!$A$1:$A$701, 0), 10)</f>
        <v>3.5208333333333335</v>
      </c>
      <c r="J504" s="5" t="str" cm="1">
        <f t="array" ref="J504">INDEX('Data Mahasiswa'!B504:I504,MATCH(MIN(VLOOKUP('Data Mahasiswa'!B504:I504,'Data Mahasiswa'!$N$27:$O$36,2,0)),VLOOKUP('Data Mahasiswa'!B504:I504,'Data Mahasiswa'!$N$27:$O$36,2,0),0))</f>
        <v>B-</v>
      </c>
      <c r="K504" s="5" t="str">
        <f t="shared" si="23"/>
        <v>Eligible</v>
      </c>
    </row>
    <row r="505" spans="1:11" x14ac:dyDescent="0.3">
      <c r="A505" s="8">
        <v>504</v>
      </c>
      <c r="B505" s="8" t="s">
        <v>554</v>
      </c>
      <c r="C505" s="8" t="s">
        <v>1247</v>
      </c>
      <c r="D505" s="8" t="s">
        <v>779</v>
      </c>
      <c r="E505" s="9">
        <f t="shared" si="21"/>
        <v>2025</v>
      </c>
      <c r="F505" s="8" t="str">
        <f>INDEX('Data Mahasiswa'!$N$1:$Q$14, MATCH(MID('Data Status Pendaftar'!B505, 5,2), 'Data Mahasiswa'!$N$1:$N$14,0),2)</f>
        <v>Sains</v>
      </c>
      <c r="G505" s="8" t="str" cm="1">
        <f t="array" ref="G505">INDEX('Data Mahasiswa'!$Q$2:$Q$14, MATCH(MID('Data Status Pendaftar'!B505,5,3), 'Data Mahasiswa'!$N$2:$N$14&amp;TEXT('Data Mahasiswa'!$P$2:$P$14,"0"), 0))</f>
        <v>Matematika</v>
      </c>
      <c r="H505" s="9">
        <f t="shared" ca="1" si="22"/>
        <v>2</v>
      </c>
      <c r="I505" s="10">
        <f>INDEX('Data Mahasiswa'!$A$1:$J$701, MATCH('Data Status Pendaftar'!B505, 'Data Mahasiswa'!$A$1:$A$701, 0), 10)</f>
        <v>3.25</v>
      </c>
      <c r="J505" s="8" t="str" cm="1">
        <f t="array" ref="J505">INDEX('Data Mahasiswa'!B505:I505,MATCH(MIN(VLOOKUP('Data Mahasiswa'!B505:I505,'Data Mahasiswa'!$N$27:$O$36,2,0)),VLOOKUP('Data Mahasiswa'!B505:I505,'Data Mahasiswa'!$N$27:$O$36,2,0),0))</f>
        <v>D</v>
      </c>
      <c r="K505" s="8" t="str">
        <f t="shared" si="23"/>
        <v>Tidak Eligible</v>
      </c>
    </row>
    <row r="506" spans="1:11" x14ac:dyDescent="0.3">
      <c r="A506" s="5">
        <v>505</v>
      </c>
      <c r="B506" s="5" t="s">
        <v>555</v>
      </c>
      <c r="C506" s="5" t="s">
        <v>1248</v>
      </c>
      <c r="D506" s="5" t="s">
        <v>779</v>
      </c>
      <c r="E506" s="6">
        <f t="shared" si="21"/>
        <v>2025</v>
      </c>
      <c r="F506" s="5" t="str">
        <f>INDEX('Data Mahasiswa'!$N$1:$Q$14, MATCH(MID('Data Status Pendaftar'!B506, 5,2), 'Data Mahasiswa'!$N$1:$N$14,0),2)</f>
        <v>Sains</v>
      </c>
      <c r="G506" s="5" t="str" cm="1">
        <f t="array" ref="G506">INDEX('Data Mahasiswa'!$Q$2:$Q$14, MATCH(MID('Data Status Pendaftar'!B506,5,3), 'Data Mahasiswa'!$N$2:$N$14&amp;TEXT('Data Mahasiswa'!$P$2:$P$14,"0"), 0))</f>
        <v>Matematika</v>
      </c>
      <c r="H506" s="6">
        <f t="shared" ca="1" si="22"/>
        <v>2</v>
      </c>
      <c r="I506" s="7">
        <f>INDEX('Data Mahasiswa'!$A$1:$J$701, MATCH('Data Status Pendaftar'!B506, 'Data Mahasiswa'!$A$1:$A$701, 0), 10)</f>
        <v>3.1041666666666665</v>
      </c>
      <c r="J506" s="5" t="str" cm="1">
        <f t="array" ref="J506">INDEX('Data Mahasiswa'!B506:I506,MATCH(MIN(VLOOKUP('Data Mahasiswa'!B506:I506,'Data Mahasiswa'!$N$27:$O$36,2,0)),VLOOKUP('Data Mahasiswa'!B506:I506,'Data Mahasiswa'!$N$27:$O$36,2,0),0))</f>
        <v>D</v>
      </c>
      <c r="K506" s="5" t="str">
        <f t="shared" si="23"/>
        <v>Tidak Eligible</v>
      </c>
    </row>
    <row r="507" spans="1:11" x14ac:dyDescent="0.3">
      <c r="A507" s="8">
        <v>506</v>
      </c>
      <c r="B507" s="8" t="s">
        <v>556</v>
      </c>
      <c r="C507" s="8" t="s">
        <v>1249</v>
      </c>
      <c r="D507" s="8" t="s">
        <v>779</v>
      </c>
      <c r="E507" s="9">
        <f t="shared" si="21"/>
        <v>2025</v>
      </c>
      <c r="F507" s="8" t="str">
        <f>INDEX('Data Mahasiswa'!$N$1:$Q$14, MATCH(MID('Data Status Pendaftar'!B507, 5,2), 'Data Mahasiswa'!$N$1:$N$14,0),2)</f>
        <v>Sains</v>
      </c>
      <c r="G507" s="8" t="str" cm="1">
        <f t="array" ref="G507">INDEX('Data Mahasiswa'!$Q$2:$Q$14, MATCH(MID('Data Status Pendaftar'!B507,5,3), 'Data Mahasiswa'!$N$2:$N$14&amp;TEXT('Data Mahasiswa'!$P$2:$P$14,"0"), 0))</f>
        <v>Matematika</v>
      </c>
      <c r="H507" s="9">
        <f t="shared" ca="1" si="22"/>
        <v>2</v>
      </c>
      <c r="I507" s="10">
        <f>INDEX('Data Mahasiswa'!$A$1:$J$701, MATCH('Data Status Pendaftar'!B507, 'Data Mahasiswa'!$A$1:$A$701, 0), 10)</f>
        <v>3.1041666666666665</v>
      </c>
      <c r="J507" s="8" t="str" cm="1">
        <f t="array" ref="J507">INDEX('Data Mahasiswa'!B507:I507,MATCH(MIN(VLOOKUP('Data Mahasiswa'!B507:I507,'Data Mahasiswa'!$N$27:$O$36,2,0)),VLOOKUP('Data Mahasiswa'!B507:I507,'Data Mahasiswa'!$N$27:$O$36,2,0),0))</f>
        <v>C</v>
      </c>
      <c r="K507" s="8" t="str">
        <f t="shared" si="23"/>
        <v>Eligible</v>
      </c>
    </row>
    <row r="508" spans="1:11" x14ac:dyDescent="0.3">
      <c r="A508" s="5">
        <v>507</v>
      </c>
      <c r="B508" s="5" t="s">
        <v>557</v>
      </c>
      <c r="C508" s="5" t="s">
        <v>1250</v>
      </c>
      <c r="D508" s="5" t="s">
        <v>780</v>
      </c>
      <c r="E508" s="6">
        <f t="shared" si="21"/>
        <v>2025</v>
      </c>
      <c r="F508" s="5" t="str">
        <f>INDEX('Data Mahasiswa'!$N$1:$Q$14, MATCH(MID('Data Status Pendaftar'!B508, 5,2), 'Data Mahasiswa'!$N$1:$N$14,0),2)</f>
        <v>Sains</v>
      </c>
      <c r="G508" s="5" t="str" cm="1">
        <f t="array" ref="G508">INDEX('Data Mahasiswa'!$Q$2:$Q$14, MATCH(MID('Data Status Pendaftar'!B508,5,3), 'Data Mahasiswa'!$N$2:$N$14&amp;TEXT('Data Mahasiswa'!$P$2:$P$14,"0"), 0))</f>
        <v>Statistika</v>
      </c>
      <c r="H508" s="6">
        <f t="shared" ca="1" si="22"/>
        <v>2</v>
      </c>
      <c r="I508" s="7">
        <f>INDEX('Data Mahasiswa'!$A$1:$J$701, MATCH('Data Status Pendaftar'!B508, 'Data Mahasiswa'!$A$1:$A$701, 0), 10)</f>
        <v>3.375</v>
      </c>
      <c r="J508" s="5" t="str" cm="1">
        <f t="array" ref="J508">INDEX('Data Mahasiswa'!B508:I508,MATCH(MIN(VLOOKUP('Data Mahasiswa'!B508:I508,'Data Mahasiswa'!$N$27:$O$36,2,0)),VLOOKUP('Data Mahasiswa'!B508:I508,'Data Mahasiswa'!$N$27:$O$36,2,0),0))</f>
        <v>C</v>
      </c>
      <c r="K508" s="5" t="str">
        <f t="shared" si="23"/>
        <v>Eligible</v>
      </c>
    </row>
    <row r="509" spans="1:11" x14ac:dyDescent="0.3">
      <c r="A509" s="8">
        <v>508</v>
      </c>
      <c r="B509" s="8" t="s">
        <v>558</v>
      </c>
      <c r="C509" s="8" t="s">
        <v>1251</v>
      </c>
      <c r="D509" s="8" t="s">
        <v>779</v>
      </c>
      <c r="E509" s="9">
        <f t="shared" si="21"/>
        <v>2025</v>
      </c>
      <c r="F509" s="8" t="str">
        <f>INDEX('Data Mahasiswa'!$N$1:$Q$14, MATCH(MID('Data Status Pendaftar'!B509, 5,2), 'Data Mahasiswa'!$N$1:$N$14,0),2)</f>
        <v>Sains</v>
      </c>
      <c r="G509" s="8" t="str" cm="1">
        <f t="array" ref="G509">INDEX('Data Mahasiswa'!$Q$2:$Q$14, MATCH(MID('Data Status Pendaftar'!B509,5,3), 'Data Mahasiswa'!$N$2:$N$14&amp;TEXT('Data Mahasiswa'!$P$2:$P$14,"0"), 0))</f>
        <v>Statistika</v>
      </c>
      <c r="H509" s="9">
        <f t="shared" ca="1" si="22"/>
        <v>2</v>
      </c>
      <c r="I509" s="10">
        <f>INDEX('Data Mahasiswa'!$A$1:$J$701, MATCH('Data Status Pendaftar'!B509, 'Data Mahasiswa'!$A$1:$A$701, 0), 10)</f>
        <v>3.3854166666666665</v>
      </c>
      <c r="J509" s="8" t="str" cm="1">
        <f t="array" ref="J509">INDEX('Data Mahasiswa'!B509:I509,MATCH(MIN(VLOOKUP('Data Mahasiswa'!B509:I509,'Data Mahasiswa'!$N$27:$O$36,2,0)),VLOOKUP('Data Mahasiswa'!B509:I509,'Data Mahasiswa'!$N$27:$O$36,2,0),0))</f>
        <v>E</v>
      </c>
      <c r="K509" s="8" t="str">
        <f t="shared" si="23"/>
        <v>Tidak Eligible</v>
      </c>
    </row>
    <row r="510" spans="1:11" x14ac:dyDescent="0.3">
      <c r="A510" s="5">
        <v>509</v>
      </c>
      <c r="B510" s="5" t="s">
        <v>559</v>
      </c>
      <c r="C510" s="5" t="s">
        <v>1252</v>
      </c>
      <c r="D510" s="5" t="s">
        <v>780</v>
      </c>
      <c r="E510" s="6">
        <f t="shared" si="21"/>
        <v>2025</v>
      </c>
      <c r="F510" s="5" t="str">
        <f>INDEX('Data Mahasiswa'!$N$1:$Q$14, MATCH(MID('Data Status Pendaftar'!B510, 5,2), 'Data Mahasiswa'!$N$1:$N$14,0),2)</f>
        <v>Sains</v>
      </c>
      <c r="G510" s="5" t="str" cm="1">
        <f t="array" ref="G510">INDEX('Data Mahasiswa'!$Q$2:$Q$14, MATCH(MID('Data Status Pendaftar'!B510,5,3), 'Data Mahasiswa'!$N$2:$N$14&amp;TEXT('Data Mahasiswa'!$P$2:$P$14,"0"), 0))</f>
        <v>Statistika</v>
      </c>
      <c r="H510" s="6">
        <f t="shared" ca="1" si="22"/>
        <v>2</v>
      </c>
      <c r="I510" s="7">
        <f>INDEX('Data Mahasiswa'!$A$1:$J$701, MATCH('Data Status Pendaftar'!B510, 'Data Mahasiswa'!$A$1:$A$701, 0), 10)</f>
        <v>2.8958333333333335</v>
      </c>
      <c r="J510" s="5" t="str" cm="1">
        <f t="array" ref="J510">INDEX('Data Mahasiswa'!B510:I510,MATCH(MIN(VLOOKUP('Data Mahasiswa'!B510:I510,'Data Mahasiswa'!$N$27:$O$36,2,0)),VLOOKUP('Data Mahasiswa'!B510:I510,'Data Mahasiswa'!$N$27:$O$36,2,0),0))</f>
        <v>D</v>
      </c>
      <c r="K510" s="5" t="str">
        <f t="shared" si="23"/>
        <v>Tidak Eligible</v>
      </c>
    </row>
    <row r="511" spans="1:11" x14ac:dyDescent="0.3">
      <c r="A511" s="8">
        <v>510</v>
      </c>
      <c r="B511" s="8" t="s">
        <v>560</v>
      </c>
      <c r="C511" s="8" t="s">
        <v>1253</v>
      </c>
      <c r="D511" s="8" t="s">
        <v>780</v>
      </c>
      <c r="E511" s="9">
        <f t="shared" si="21"/>
        <v>2025</v>
      </c>
      <c r="F511" s="8" t="str">
        <f>INDEX('Data Mahasiswa'!$N$1:$Q$14, MATCH(MID('Data Status Pendaftar'!B511, 5,2), 'Data Mahasiswa'!$N$1:$N$14,0),2)</f>
        <v>Sains</v>
      </c>
      <c r="G511" s="8" t="str" cm="1">
        <f t="array" ref="G511">INDEX('Data Mahasiswa'!$Q$2:$Q$14, MATCH(MID('Data Status Pendaftar'!B511,5,3), 'Data Mahasiswa'!$N$2:$N$14&amp;TEXT('Data Mahasiswa'!$P$2:$P$14,"0"), 0))</f>
        <v>Statistika</v>
      </c>
      <c r="H511" s="9">
        <f t="shared" ca="1" si="22"/>
        <v>2</v>
      </c>
      <c r="I511" s="10">
        <f>INDEX('Data Mahasiswa'!$A$1:$J$701, MATCH('Data Status Pendaftar'!B511, 'Data Mahasiswa'!$A$1:$A$701, 0), 10)</f>
        <v>3.53125</v>
      </c>
      <c r="J511" s="8" t="str" cm="1">
        <f t="array" ref="J511">INDEX('Data Mahasiswa'!B511:I511,MATCH(MIN(VLOOKUP('Data Mahasiswa'!B511:I511,'Data Mahasiswa'!$N$27:$O$36,2,0)),VLOOKUP('Data Mahasiswa'!B511:I511,'Data Mahasiswa'!$N$27:$O$36,2,0),0))</f>
        <v>C+</v>
      </c>
      <c r="K511" s="8" t="str">
        <f t="shared" si="23"/>
        <v>Eligible</v>
      </c>
    </row>
    <row r="512" spans="1:11" x14ac:dyDescent="0.3">
      <c r="A512" s="5">
        <v>511</v>
      </c>
      <c r="B512" s="5" t="s">
        <v>561</v>
      </c>
      <c r="C512" s="5" t="s">
        <v>777</v>
      </c>
      <c r="D512" s="5" t="s">
        <v>780</v>
      </c>
      <c r="E512" s="6">
        <f t="shared" si="21"/>
        <v>2025</v>
      </c>
      <c r="F512" s="5" t="str">
        <f>INDEX('Data Mahasiswa'!$N$1:$Q$14, MATCH(MID('Data Status Pendaftar'!B512, 5,2), 'Data Mahasiswa'!$N$1:$N$14,0),2)</f>
        <v>Sains</v>
      </c>
      <c r="G512" s="5" t="str" cm="1">
        <f t="array" ref="G512">INDEX('Data Mahasiswa'!$Q$2:$Q$14, MATCH(MID('Data Status Pendaftar'!B512,5,3), 'Data Mahasiswa'!$N$2:$N$14&amp;TEXT('Data Mahasiswa'!$P$2:$P$14,"0"), 0))</f>
        <v>Statistika</v>
      </c>
      <c r="H512" s="6">
        <f t="shared" ca="1" si="22"/>
        <v>2</v>
      </c>
      <c r="I512" s="7">
        <f>INDEX('Data Mahasiswa'!$A$1:$J$701, MATCH('Data Status Pendaftar'!B512, 'Data Mahasiswa'!$A$1:$A$701, 0), 10)</f>
        <v>3.25</v>
      </c>
      <c r="J512" s="5" t="str" cm="1">
        <f t="array" ref="J512">INDEX('Data Mahasiswa'!B512:I512,MATCH(MIN(VLOOKUP('Data Mahasiswa'!B512:I512,'Data Mahasiswa'!$N$27:$O$36,2,0)),VLOOKUP('Data Mahasiswa'!B512:I512,'Data Mahasiswa'!$N$27:$O$36,2,0),0))</f>
        <v>C+</v>
      </c>
      <c r="K512" s="5" t="str">
        <f t="shared" si="23"/>
        <v>Eligible</v>
      </c>
    </row>
    <row r="513" spans="1:11" x14ac:dyDescent="0.3">
      <c r="A513" s="8">
        <v>512</v>
      </c>
      <c r="B513" s="8" t="s">
        <v>562</v>
      </c>
      <c r="C513" s="8" t="s">
        <v>1254</v>
      </c>
      <c r="D513" s="8" t="s">
        <v>779</v>
      </c>
      <c r="E513" s="9">
        <f t="shared" si="21"/>
        <v>2025</v>
      </c>
      <c r="F513" s="8" t="str">
        <f>INDEX('Data Mahasiswa'!$N$1:$Q$14, MATCH(MID('Data Status Pendaftar'!B513, 5,2), 'Data Mahasiswa'!$N$1:$N$14,0),2)</f>
        <v>Sains</v>
      </c>
      <c r="G513" s="8" t="str" cm="1">
        <f t="array" ref="G513">INDEX('Data Mahasiswa'!$Q$2:$Q$14, MATCH(MID('Data Status Pendaftar'!B513,5,3), 'Data Mahasiswa'!$N$2:$N$14&amp;TEXT('Data Mahasiswa'!$P$2:$P$14,"0"), 0))</f>
        <v>Statistika</v>
      </c>
      <c r="H513" s="9">
        <f t="shared" ca="1" si="22"/>
        <v>2</v>
      </c>
      <c r="I513" s="10">
        <f>INDEX('Data Mahasiswa'!$A$1:$J$701, MATCH('Data Status Pendaftar'!B513, 'Data Mahasiswa'!$A$1:$A$701, 0), 10)</f>
        <v>3.2916666666666665</v>
      </c>
      <c r="J513" s="8" t="str" cm="1">
        <f t="array" ref="J513">INDEX('Data Mahasiswa'!B513:I513,MATCH(MIN(VLOOKUP('Data Mahasiswa'!B513:I513,'Data Mahasiswa'!$N$27:$O$36,2,0)),VLOOKUP('Data Mahasiswa'!B513:I513,'Data Mahasiswa'!$N$27:$O$36,2,0),0))</f>
        <v>C</v>
      </c>
      <c r="K513" s="8" t="str">
        <f t="shared" si="23"/>
        <v>Eligible</v>
      </c>
    </row>
    <row r="514" spans="1:11" x14ac:dyDescent="0.3">
      <c r="A514" s="5">
        <v>513</v>
      </c>
      <c r="B514" s="5" t="s">
        <v>563</v>
      </c>
      <c r="C514" s="5" t="s">
        <v>1255</v>
      </c>
      <c r="D514" s="5" t="s">
        <v>780</v>
      </c>
      <c r="E514" s="6">
        <f t="shared" si="21"/>
        <v>2025</v>
      </c>
      <c r="F514" s="5" t="str">
        <f>INDEX('Data Mahasiswa'!$N$1:$Q$14, MATCH(MID('Data Status Pendaftar'!B514, 5,2), 'Data Mahasiswa'!$N$1:$N$14,0),2)</f>
        <v>Sains</v>
      </c>
      <c r="G514" s="5" t="str" cm="1">
        <f t="array" ref="G514">INDEX('Data Mahasiswa'!$Q$2:$Q$14, MATCH(MID('Data Status Pendaftar'!B514,5,3), 'Data Mahasiswa'!$N$2:$N$14&amp;TEXT('Data Mahasiswa'!$P$2:$P$14,"0"), 0))</f>
        <v>Statistika</v>
      </c>
      <c r="H514" s="6">
        <f t="shared" ca="1" si="22"/>
        <v>2</v>
      </c>
      <c r="I514" s="7">
        <f>INDEX('Data Mahasiswa'!$A$1:$J$701, MATCH('Data Status Pendaftar'!B514, 'Data Mahasiswa'!$A$1:$A$701, 0), 10)</f>
        <v>3.40625</v>
      </c>
      <c r="J514" s="5" t="str" cm="1">
        <f t="array" ref="J514">INDEX('Data Mahasiswa'!B514:I514,MATCH(MIN(VLOOKUP('Data Mahasiswa'!B514:I514,'Data Mahasiswa'!$N$27:$O$36,2,0)),VLOOKUP('Data Mahasiswa'!B514:I514,'Data Mahasiswa'!$N$27:$O$36,2,0),0))</f>
        <v>B-</v>
      </c>
      <c r="K514" s="5" t="str">
        <f t="shared" si="23"/>
        <v>Eligible</v>
      </c>
    </row>
    <row r="515" spans="1:11" x14ac:dyDescent="0.3">
      <c r="A515" s="8">
        <v>514</v>
      </c>
      <c r="B515" s="8" t="s">
        <v>564</v>
      </c>
      <c r="C515" s="8" t="s">
        <v>1256</v>
      </c>
      <c r="D515" s="8" t="s">
        <v>780</v>
      </c>
      <c r="E515" s="9">
        <f t="shared" ref="E515:E578" si="24">LEFT(B515,2)+2000</f>
        <v>2025</v>
      </c>
      <c r="F515" s="8" t="str">
        <f>INDEX('Data Mahasiswa'!$N$1:$Q$14, MATCH(MID('Data Status Pendaftar'!B515, 5,2), 'Data Mahasiswa'!$N$1:$N$14,0),2)</f>
        <v>Sains</v>
      </c>
      <c r="G515" s="8" t="str" cm="1">
        <f t="array" ref="G515">INDEX('Data Mahasiswa'!$Q$2:$Q$14, MATCH(MID('Data Status Pendaftar'!B515,5,3), 'Data Mahasiswa'!$N$2:$N$14&amp;TEXT('Data Mahasiswa'!$P$2:$P$14,"0"), 0))</f>
        <v>Statistika</v>
      </c>
      <c r="H515" s="9">
        <f t="shared" ref="H515:H578" ca="1" si="25">(YEAR(TODAY())-E515)*2</f>
        <v>2</v>
      </c>
      <c r="I515" s="10">
        <f>INDEX('Data Mahasiswa'!$A$1:$J$701, MATCH('Data Status Pendaftar'!B515, 'Data Mahasiswa'!$A$1:$A$701, 0), 10)</f>
        <v>3.4583333333333335</v>
      </c>
      <c r="J515" s="8" t="str" cm="1">
        <f t="array" ref="J515">INDEX('Data Mahasiswa'!B515:I515,MATCH(MIN(VLOOKUP('Data Mahasiswa'!B515:I515,'Data Mahasiswa'!$N$27:$O$36,2,0)),VLOOKUP('Data Mahasiswa'!B515:I515,'Data Mahasiswa'!$N$27:$O$36,2,0),0))</f>
        <v>D</v>
      </c>
      <c r="K515" s="8" t="str">
        <f t="shared" ref="K515:K578" si="26">IF(AND(E515=2025,I515&gt;=2.75,OR(J515="A",J515="A-",J515="B+",J515="B",J515="B-",J515="C+",J515="C",J515="C-")),"Eligible","Tidak Eligible")</f>
        <v>Tidak Eligible</v>
      </c>
    </row>
    <row r="516" spans="1:11" x14ac:dyDescent="0.3">
      <c r="A516" s="5">
        <v>515</v>
      </c>
      <c r="B516" s="5" t="s">
        <v>565</v>
      </c>
      <c r="C516" s="5" t="s">
        <v>1257</v>
      </c>
      <c r="D516" s="5" t="s">
        <v>780</v>
      </c>
      <c r="E516" s="6">
        <f t="shared" si="24"/>
        <v>2025</v>
      </c>
      <c r="F516" s="5" t="str">
        <f>INDEX('Data Mahasiswa'!$N$1:$Q$14, MATCH(MID('Data Status Pendaftar'!B516, 5,2), 'Data Mahasiswa'!$N$1:$N$14,0),2)</f>
        <v>Sains</v>
      </c>
      <c r="G516" s="5" t="str" cm="1">
        <f t="array" ref="G516">INDEX('Data Mahasiswa'!$Q$2:$Q$14, MATCH(MID('Data Status Pendaftar'!B516,5,3), 'Data Mahasiswa'!$N$2:$N$14&amp;TEXT('Data Mahasiswa'!$P$2:$P$14,"0"), 0))</f>
        <v>Statistika</v>
      </c>
      <c r="H516" s="6">
        <f t="shared" ca="1" si="25"/>
        <v>2</v>
      </c>
      <c r="I516" s="7">
        <f>INDEX('Data Mahasiswa'!$A$1:$J$701, MATCH('Data Status Pendaftar'!B516, 'Data Mahasiswa'!$A$1:$A$701, 0), 10)</f>
        <v>2.375</v>
      </c>
      <c r="J516" s="5" t="str" cm="1">
        <f t="array" ref="J516">INDEX('Data Mahasiswa'!B516:I516,MATCH(MIN(VLOOKUP('Data Mahasiswa'!B516:I516,'Data Mahasiswa'!$N$27:$O$36,2,0)),VLOOKUP('Data Mahasiswa'!B516:I516,'Data Mahasiswa'!$N$27:$O$36,2,0),0))</f>
        <v>D</v>
      </c>
      <c r="K516" s="5" t="str">
        <f t="shared" si="26"/>
        <v>Tidak Eligible</v>
      </c>
    </row>
    <row r="517" spans="1:11" x14ac:dyDescent="0.3">
      <c r="A517" s="8">
        <v>516</v>
      </c>
      <c r="B517" s="8" t="s">
        <v>566</v>
      </c>
      <c r="C517" s="8" t="s">
        <v>1258</v>
      </c>
      <c r="D517" s="8" t="s">
        <v>779</v>
      </c>
      <c r="E517" s="9">
        <f t="shared" si="24"/>
        <v>2025</v>
      </c>
      <c r="F517" s="8" t="str">
        <f>INDEX('Data Mahasiswa'!$N$1:$Q$14, MATCH(MID('Data Status Pendaftar'!B517, 5,2), 'Data Mahasiswa'!$N$1:$N$14,0),2)</f>
        <v>Sains</v>
      </c>
      <c r="G517" s="8" t="str" cm="1">
        <f t="array" ref="G517">INDEX('Data Mahasiswa'!$Q$2:$Q$14, MATCH(MID('Data Status Pendaftar'!B517,5,3), 'Data Mahasiswa'!$N$2:$N$14&amp;TEXT('Data Mahasiswa'!$P$2:$P$14,"0"), 0))</f>
        <v>Statistika</v>
      </c>
      <c r="H517" s="9">
        <f t="shared" ca="1" si="25"/>
        <v>2</v>
      </c>
      <c r="I517" s="10">
        <f>INDEX('Data Mahasiswa'!$A$1:$J$701, MATCH('Data Status Pendaftar'!B517, 'Data Mahasiswa'!$A$1:$A$701, 0), 10)</f>
        <v>3.28125</v>
      </c>
      <c r="J517" s="8" t="str" cm="1">
        <f t="array" ref="J517">INDEX('Data Mahasiswa'!B517:I517,MATCH(MIN(VLOOKUP('Data Mahasiswa'!B517:I517,'Data Mahasiswa'!$N$27:$O$36,2,0)),VLOOKUP('Data Mahasiswa'!B517:I517,'Data Mahasiswa'!$N$27:$O$36,2,0),0))</f>
        <v>C</v>
      </c>
      <c r="K517" s="8" t="str">
        <f t="shared" si="26"/>
        <v>Eligible</v>
      </c>
    </row>
    <row r="518" spans="1:11" x14ac:dyDescent="0.3">
      <c r="A518" s="5">
        <v>517</v>
      </c>
      <c r="B518" s="5" t="s">
        <v>567</v>
      </c>
      <c r="C518" s="5" t="s">
        <v>1259</v>
      </c>
      <c r="D518" s="5" t="s">
        <v>780</v>
      </c>
      <c r="E518" s="6">
        <f t="shared" si="24"/>
        <v>2025</v>
      </c>
      <c r="F518" s="5" t="str">
        <f>INDEX('Data Mahasiswa'!$N$1:$Q$14, MATCH(MID('Data Status Pendaftar'!B518, 5,2), 'Data Mahasiswa'!$N$1:$N$14,0),2)</f>
        <v>Sains</v>
      </c>
      <c r="G518" s="5" t="str" cm="1">
        <f t="array" ref="G518">INDEX('Data Mahasiswa'!$Q$2:$Q$14, MATCH(MID('Data Status Pendaftar'!B518,5,3), 'Data Mahasiswa'!$N$2:$N$14&amp;TEXT('Data Mahasiswa'!$P$2:$P$14,"0"), 0))</f>
        <v>Statistika</v>
      </c>
      <c r="H518" s="6">
        <f t="shared" ca="1" si="25"/>
        <v>2</v>
      </c>
      <c r="I518" s="7">
        <f>INDEX('Data Mahasiswa'!$A$1:$J$701, MATCH('Data Status Pendaftar'!B518, 'Data Mahasiswa'!$A$1:$A$701, 0), 10)</f>
        <v>3.4583333333333335</v>
      </c>
      <c r="J518" s="5" t="str" cm="1">
        <f t="array" ref="J518">INDEX('Data Mahasiswa'!B518:I518,MATCH(MIN(VLOOKUP('Data Mahasiswa'!B518:I518,'Data Mahasiswa'!$N$27:$O$36,2,0)),VLOOKUP('Data Mahasiswa'!B518:I518,'Data Mahasiswa'!$N$27:$O$36,2,0),0))</f>
        <v>B-</v>
      </c>
      <c r="K518" s="5" t="str">
        <f t="shared" si="26"/>
        <v>Eligible</v>
      </c>
    </row>
    <row r="519" spans="1:11" x14ac:dyDescent="0.3">
      <c r="A519" s="8">
        <v>518</v>
      </c>
      <c r="B519" s="8" t="s">
        <v>568</v>
      </c>
      <c r="C519" s="8" t="s">
        <v>1260</v>
      </c>
      <c r="D519" s="8" t="s">
        <v>779</v>
      </c>
      <c r="E519" s="9">
        <f t="shared" si="24"/>
        <v>2025</v>
      </c>
      <c r="F519" s="8" t="str">
        <f>INDEX('Data Mahasiswa'!$N$1:$Q$14, MATCH(MID('Data Status Pendaftar'!B519, 5,2), 'Data Mahasiswa'!$N$1:$N$14,0),2)</f>
        <v>Sains</v>
      </c>
      <c r="G519" s="8" t="str" cm="1">
        <f t="array" ref="G519">INDEX('Data Mahasiswa'!$Q$2:$Q$14, MATCH(MID('Data Status Pendaftar'!B519,5,3), 'Data Mahasiswa'!$N$2:$N$14&amp;TEXT('Data Mahasiswa'!$P$2:$P$14,"0"), 0))</f>
        <v>Statistika</v>
      </c>
      <c r="H519" s="9">
        <f t="shared" ca="1" si="25"/>
        <v>2</v>
      </c>
      <c r="I519" s="10">
        <f>INDEX('Data Mahasiswa'!$A$1:$J$701, MATCH('Data Status Pendaftar'!B519, 'Data Mahasiswa'!$A$1:$A$701, 0), 10)</f>
        <v>2.7916666666666665</v>
      </c>
      <c r="J519" s="8" t="str" cm="1">
        <f t="array" ref="J519">INDEX('Data Mahasiswa'!B519:I519,MATCH(MIN(VLOOKUP('Data Mahasiswa'!B519:I519,'Data Mahasiswa'!$N$27:$O$36,2,0)),VLOOKUP('Data Mahasiswa'!B519:I519,'Data Mahasiswa'!$N$27:$O$36,2,0),0))</f>
        <v>E</v>
      </c>
      <c r="K519" s="8" t="str">
        <f t="shared" si="26"/>
        <v>Tidak Eligible</v>
      </c>
    </row>
    <row r="520" spans="1:11" x14ac:dyDescent="0.3">
      <c r="A520" s="5">
        <v>519</v>
      </c>
      <c r="B520" s="5" t="s">
        <v>569</v>
      </c>
      <c r="C520" s="5" t="s">
        <v>1261</v>
      </c>
      <c r="D520" s="5" t="s">
        <v>779</v>
      </c>
      <c r="E520" s="6">
        <f t="shared" si="24"/>
        <v>2025</v>
      </c>
      <c r="F520" s="5" t="str">
        <f>INDEX('Data Mahasiswa'!$N$1:$Q$14, MATCH(MID('Data Status Pendaftar'!B520, 5,2), 'Data Mahasiswa'!$N$1:$N$14,0),2)</f>
        <v>Sains</v>
      </c>
      <c r="G520" s="5" t="str" cm="1">
        <f t="array" ref="G520">INDEX('Data Mahasiswa'!$Q$2:$Q$14, MATCH(MID('Data Status Pendaftar'!B520,5,3), 'Data Mahasiswa'!$N$2:$N$14&amp;TEXT('Data Mahasiswa'!$P$2:$P$14,"0"), 0))</f>
        <v>Statistika</v>
      </c>
      <c r="H520" s="6">
        <f t="shared" ca="1" si="25"/>
        <v>2</v>
      </c>
      <c r="I520" s="7">
        <f>INDEX('Data Mahasiswa'!$A$1:$J$701, MATCH('Data Status Pendaftar'!B520, 'Data Mahasiswa'!$A$1:$A$701, 0), 10)</f>
        <v>3.0416666666666665</v>
      </c>
      <c r="J520" s="5" t="str" cm="1">
        <f t="array" ref="J520">INDEX('Data Mahasiswa'!B520:I520,MATCH(MIN(VLOOKUP('Data Mahasiswa'!B520:I520,'Data Mahasiswa'!$N$27:$O$36,2,0)),VLOOKUP('Data Mahasiswa'!B520:I520,'Data Mahasiswa'!$N$27:$O$36,2,0),0))</f>
        <v>C+</v>
      </c>
      <c r="K520" s="5" t="str">
        <f t="shared" si="26"/>
        <v>Eligible</v>
      </c>
    </row>
    <row r="521" spans="1:11" x14ac:dyDescent="0.3">
      <c r="A521" s="8">
        <v>520</v>
      </c>
      <c r="B521" s="8" t="s">
        <v>570</v>
      </c>
      <c r="C521" s="8" t="s">
        <v>939</v>
      </c>
      <c r="D521" s="8" t="s">
        <v>780</v>
      </c>
      <c r="E521" s="9">
        <f t="shared" si="24"/>
        <v>2025</v>
      </c>
      <c r="F521" s="8" t="str">
        <f>INDEX('Data Mahasiswa'!$N$1:$Q$14, MATCH(MID('Data Status Pendaftar'!B521, 5,2), 'Data Mahasiswa'!$N$1:$N$14,0),2)</f>
        <v>Sains</v>
      </c>
      <c r="G521" s="8" t="str" cm="1">
        <f t="array" ref="G521">INDEX('Data Mahasiswa'!$Q$2:$Q$14, MATCH(MID('Data Status Pendaftar'!B521,5,3), 'Data Mahasiswa'!$N$2:$N$14&amp;TEXT('Data Mahasiswa'!$P$2:$P$14,"0"), 0))</f>
        <v>Statistika</v>
      </c>
      <c r="H521" s="9">
        <f t="shared" ca="1" si="25"/>
        <v>2</v>
      </c>
      <c r="I521" s="10">
        <f>INDEX('Data Mahasiswa'!$A$1:$J$701, MATCH('Data Status Pendaftar'!B521, 'Data Mahasiswa'!$A$1:$A$701, 0), 10)</f>
        <v>2.6770833333333335</v>
      </c>
      <c r="J521" s="8" t="str" cm="1">
        <f t="array" ref="J521">INDEX('Data Mahasiswa'!B521:I521,MATCH(MIN(VLOOKUP('Data Mahasiswa'!B521:I521,'Data Mahasiswa'!$N$27:$O$36,2,0)),VLOOKUP('Data Mahasiswa'!B521:I521,'Data Mahasiswa'!$N$27:$O$36,2,0),0))</f>
        <v>D</v>
      </c>
      <c r="K521" s="8" t="str">
        <f t="shared" si="26"/>
        <v>Tidak Eligible</v>
      </c>
    </row>
    <row r="522" spans="1:11" x14ac:dyDescent="0.3">
      <c r="A522" s="5">
        <v>521</v>
      </c>
      <c r="B522" s="5" t="s">
        <v>571</v>
      </c>
      <c r="C522" s="5" t="s">
        <v>1262</v>
      </c>
      <c r="D522" s="5" t="s">
        <v>779</v>
      </c>
      <c r="E522" s="6">
        <f t="shared" si="24"/>
        <v>2025</v>
      </c>
      <c r="F522" s="5" t="str">
        <f>INDEX('Data Mahasiswa'!$N$1:$Q$14, MATCH(MID('Data Status Pendaftar'!B522, 5,2), 'Data Mahasiswa'!$N$1:$N$14,0),2)</f>
        <v>Sains</v>
      </c>
      <c r="G522" s="5" t="str" cm="1">
        <f t="array" ref="G522">INDEX('Data Mahasiswa'!$Q$2:$Q$14, MATCH(MID('Data Status Pendaftar'!B522,5,3), 'Data Mahasiswa'!$N$2:$N$14&amp;TEXT('Data Mahasiswa'!$P$2:$P$14,"0"), 0))</f>
        <v>Statistika</v>
      </c>
      <c r="H522" s="6">
        <f t="shared" ca="1" si="25"/>
        <v>2</v>
      </c>
      <c r="I522" s="7">
        <f>INDEX('Data Mahasiswa'!$A$1:$J$701, MATCH('Data Status Pendaftar'!B522, 'Data Mahasiswa'!$A$1:$A$701, 0), 10)</f>
        <v>3.3645833333333335</v>
      </c>
      <c r="J522" s="5" t="str" cm="1">
        <f t="array" ref="J522">INDEX('Data Mahasiswa'!B522:I522,MATCH(MIN(VLOOKUP('Data Mahasiswa'!B522:I522,'Data Mahasiswa'!$N$27:$O$36,2,0)),VLOOKUP('Data Mahasiswa'!B522:I522,'Data Mahasiswa'!$N$27:$O$36,2,0),0))</f>
        <v>C</v>
      </c>
      <c r="K522" s="5" t="str">
        <f t="shared" si="26"/>
        <v>Eligible</v>
      </c>
    </row>
    <row r="523" spans="1:11" x14ac:dyDescent="0.3">
      <c r="A523" s="8">
        <v>522</v>
      </c>
      <c r="B523" s="8" t="s">
        <v>572</v>
      </c>
      <c r="C523" s="8" t="s">
        <v>1263</v>
      </c>
      <c r="D523" s="8" t="s">
        <v>780</v>
      </c>
      <c r="E523" s="9">
        <f t="shared" si="24"/>
        <v>2025</v>
      </c>
      <c r="F523" s="8" t="str">
        <f>INDEX('Data Mahasiswa'!$N$1:$Q$14, MATCH(MID('Data Status Pendaftar'!B523, 5,2), 'Data Mahasiswa'!$N$1:$N$14,0),2)</f>
        <v>Sains</v>
      </c>
      <c r="G523" s="8" t="str" cm="1">
        <f t="array" ref="G523">INDEX('Data Mahasiswa'!$Q$2:$Q$14, MATCH(MID('Data Status Pendaftar'!B523,5,3), 'Data Mahasiswa'!$N$2:$N$14&amp;TEXT('Data Mahasiswa'!$P$2:$P$14,"0"), 0))</f>
        <v>Statistika</v>
      </c>
      <c r="H523" s="9">
        <f t="shared" ca="1" si="25"/>
        <v>2</v>
      </c>
      <c r="I523" s="10">
        <f>INDEX('Data Mahasiswa'!$A$1:$J$701, MATCH('Data Status Pendaftar'!B523, 'Data Mahasiswa'!$A$1:$A$701, 0), 10)</f>
        <v>2.6875</v>
      </c>
      <c r="J523" s="8" t="str" cm="1">
        <f t="array" ref="J523">INDEX('Data Mahasiswa'!B523:I523,MATCH(MIN(VLOOKUP('Data Mahasiswa'!B523:I523,'Data Mahasiswa'!$N$27:$O$36,2,0)),VLOOKUP('Data Mahasiswa'!B523:I523,'Data Mahasiswa'!$N$27:$O$36,2,0),0))</f>
        <v>D</v>
      </c>
      <c r="K523" s="8" t="str">
        <f t="shared" si="26"/>
        <v>Tidak Eligible</v>
      </c>
    </row>
    <row r="524" spans="1:11" x14ac:dyDescent="0.3">
      <c r="A524" s="5">
        <v>523</v>
      </c>
      <c r="B524" s="5" t="s">
        <v>573</v>
      </c>
      <c r="C524" s="5" t="s">
        <v>1264</v>
      </c>
      <c r="D524" s="5" t="s">
        <v>780</v>
      </c>
      <c r="E524" s="6">
        <f t="shared" si="24"/>
        <v>2025</v>
      </c>
      <c r="F524" s="5" t="str">
        <f>INDEX('Data Mahasiswa'!$N$1:$Q$14, MATCH(MID('Data Status Pendaftar'!B524, 5,2), 'Data Mahasiswa'!$N$1:$N$14,0),2)</f>
        <v>Sains</v>
      </c>
      <c r="G524" s="5" t="str" cm="1">
        <f t="array" ref="G524">INDEX('Data Mahasiswa'!$Q$2:$Q$14, MATCH(MID('Data Status Pendaftar'!B524,5,3), 'Data Mahasiswa'!$N$2:$N$14&amp;TEXT('Data Mahasiswa'!$P$2:$P$14,"0"), 0))</f>
        <v>Statistika</v>
      </c>
      <c r="H524" s="6">
        <f t="shared" ca="1" si="25"/>
        <v>2</v>
      </c>
      <c r="I524" s="7">
        <f>INDEX('Data Mahasiswa'!$A$1:$J$701, MATCH('Data Status Pendaftar'!B524, 'Data Mahasiswa'!$A$1:$A$701, 0), 10)</f>
        <v>2.4166666666666665</v>
      </c>
      <c r="J524" s="5" t="str" cm="1">
        <f t="array" ref="J524">INDEX('Data Mahasiswa'!B524:I524,MATCH(MIN(VLOOKUP('Data Mahasiswa'!B524:I524,'Data Mahasiswa'!$N$27:$O$36,2,0)),VLOOKUP('Data Mahasiswa'!B524:I524,'Data Mahasiswa'!$N$27:$O$36,2,0),0))</f>
        <v>E</v>
      </c>
      <c r="K524" s="5" t="str">
        <f t="shared" si="26"/>
        <v>Tidak Eligible</v>
      </c>
    </row>
    <row r="525" spans="1:11" x14ac:dyDescent="0.3">
      <c r="A525" s="8">
        <v>524</v>
      </c>
      <c r="B525" s="8" t="s">
        <v>574</v>
      </c>
      <c r="C525" s="8" t="s">
        <v>1231</v>
      </c>
      <c r="D525" s="8" t="s">
        <v>780</v>
      </c>
      <c r="E525" s="9">
        <f t="shared" si="24"/>
        <v>2025</v>
      </c>
      <c r="F525" s="8" t="str">
        <f>INDEX('Data Mahasiswa'!$N$1:$Q$14, MATCH(MID('Data Status Pendaftar'!B525, 5,2), 'Data Mahasiswa'!$N$1:$N$14,0),2)</f>
        <v>Sains</v>
      </c>
      <c r="G525" s="8" t="str" cm="1">
        <f t="array" ref="G525">INDEX('Data Mahasiswa'!$Q$2:$Q$14, MATCH(MID('Data Status Pendaftar'!B525,5,3), 'Data Mahasiswa'!$N$2:$N$14&amp;TEXT('Data Mahasiswa'!$P$2:$P$14,"0"), 0))</f>
        <v>Statistika</v>
      </c>
      <c r="H525" s="9">
        <f t="shared" ca="1" si="25"/>
        <v>2</v>
      </c>
      <c r="I525" s="10">
        <f>INDEX('Data Mahasiswa'!$A$1:$J$701, MATCH('Data Status Pendaftar'!B525, 'Data Mahasiswa'!$A$1:$A$701, 0), 10)</f>
        <v>2.4166666666666665</v>
      </c>
      <c r="J525" s="8" t="str" cm="1">
        <f t="array" ref="J525">INDEX('Data Mahasiswa'!B525:I525,MATCH(MIN(VLOOKUP('Data Mahasiswa'!B525:I525,'Data Mahasiswa'!$N$27:$O$36,2,0)),VLOOKUP('Data Mahasiswa'!B525:I525,'Data Mahasiswa'!$N$27:$O$36,2,0),0))</f>
        <v>E</v>
      </c>
      <c r="K525" s="8" t="str">
        <f t="shared" si="26"/>
        <v>Tidak Eligible</v>
      </c>
    </row>
    <row r="526" spans="1:11" x14ac:dyDescent="0.3">
      <c r="A526" s="5">
        <v>525</v>
      </c>
      <c r="B526" s="5" t="s">
        <v>575</v>
      </c>
      <c r="C526" s="5" t="s">
        <v>1265</v>
      </c>
      <c r="D526" s="5" t="s">
        <v>780</v>
      </c>
      <c r="E526" s="6">
        <f t="shared" si="24"/>
        <v>2025</v>
      </c>
      <c r="F526" s="5" t="str">
        <f>INDEX('Data Mahasiswa'!$N$1:$Q$14, MATCH(MID('Data Status Pendaftar'!B526, 5,2), 'Data Mahasiswa'!$N$1:$N$14,0),2)</f>
        <v>Sains</v>
      </c>
      <c r="G526" s="5" t="str" cm="1">
        <f t="array" ref="G526">INDEX('Data Mahasiswa'!$Q$2:$Q$14, MATCH(MID('Data Status Pendaftar'!B526,5,3), 'Data Mahasiswa'!$N$2:$N$14&amp;TEXT('Data Mahasiswa'!$P$2:$P$14,"0"), 0))</f>
        <v>Statistika</v>
      </c>
      <c r="H526" s="6">
        <f t="shared" ca="1" si="25"/>
        <v>2</v>
      </c>
      <c r="I526" s="7">
        <f>INDEX('Data Mahasiswa'!$A$1:$J$701, MATCH('Data Status Pendaftar'!B526, 'Data Mahasiswa'!$A$1:$A$701, 0), 10)</f>
        <v>3.4270833333333335</v>
      </c>
      <c r="J526" s="5" t="str" cm="1">
        <f t="array" ref="J526">INDEX('Data Mahasiswa'!B526:I526,MATCH(MIN(VLOOKUP('Data Mahasiswa'!B526:I526,'Data Mahasiswa'!$N$27:$O$36,2,0)),VLOOKUP('Data Mahasiswa'!B526:I526,'Data Mahasiswa'!$N$27:$O$36,2,0),0))</f>
        <v>C+</v>
      </c>
      <c r="K526" s="5" t="str">
        <f t="shared" si="26"/>
        <v>Eligible</v>
      </c>
    </row>
    <row r="527" spans="1:11" x14ac:dyDescent="0.3">
      <c r="A527" s="8">
        <v>526</v>
      </c>
      <c r="B527" s="8" t="s">
        <v>576</v>
      </c>
      <c r="C527" s="8" t="s">
        <v>1266</v>
      </c>
      <c r="D527" s="8" t="s">
        <v>779</v>
      </c>
      <c r="E527" s="9">
        <f t="shared" si="24"/>
        <v>2025</v>
      </c>
      <c r="F527" s="8" t="str">
        <f>INDEX('Data Mahasiswa'!$N$1:$Q$14, MATCH(MID('Data Status Pendaftar'!B527, 5,2), 'Data Mahasiswa'!$N$1:$N$14,0),2)</f>
        <v>Sains</v>
      </c>
      <c r="G527" s="8" t="str" cm="1">
        <f t="array" ref="G527">INDEX('Data Mahasiswa'!$Q$2:$Q$14, MATCH(MID('Data Status Pendaftar'!B527,5,3), 'Data Mahasiswa'!$N$2:$N$14&amp;TEXT('Data Mahasiswa'!$P$2:$P$14,"0"), 0))</f>
        <v>Biologi</v>
      </c>
      <c r="H527" s="9">
        <f t="shared" ca="1" si="25"/>
        <v>2</v>
      </c>
      <c r="I527" s="10">
        <f>INDEX('Data Mahasiswa'!$A$1:$J$701, MATCH('Data Status Pendaftar'!B527, 'Data Mahasiswa'!$A$1:$A$701, 0), 10)</f>
        <v>3.34375</v>
      </c>
      <c r="J527" s="8" t="str" cm="1">
        <f t="array" ref="J527">INDEX('Data Mahasiswa'!B527:I527,MATCH(MIN(VLOOKUP('Data Mahasiswa'!B527:I527,'Data Mahasiswa'!$N$27:$O$36,2,0)),VLOOKUP('Data Mahasiswa'!B527:I527,'Data Mahasiswa'!$N$27:$O$36,2,0),0))</f>
        <v>D</v>
      </c>
      <c r="K527" s="8" t="str">
        <f t="shared" si="26"/>
        <v>Tidak Eligible</v>
      </c>
    </row>
    <row r="528" spans="1:11" x14ac:dyDescent="0.3">
      <c r="A528" s="5">
        <v>527</v>
      </c>
      <c r="B528" s="5" t="s">
        <v>577</v>
      </c>
      <c r="C528" s="5" t="s">
        <v>1267</v>
      </c>
      <c r="D528" s="5" t="s">
        <v>779</v>
      </c>
      <c r="E528" s="6">
        <f t="shared" si="24"/>
        <v>2025</v>
      </c>
      <c r="F528" s="5" t="str">
        <f>INDEX('Data Mahasiswa'!$N$1:$Q$14, MATCH(MID('Data Status Pendaftar'!B528, 5,2), 'Data Mahasiswa'!$N$1:$N$14,0),2)</f>
        <v>Sains</v>
      </c>
      <c r="G528" s="5" t="str" cm="1">
        <f t="array" ref="G528">INDEX('Data Mahasiswa'!$Q$2:$Q$14, MATCH(MID('Data Status Pendaftar'!B528,5,3), 'Data Mahasiswa'!$N$2:$N$14&amp;TEXT('Data Mahasiswa'!$P$2:$P$14,"0"), 0))</f>
        <v>Biologi</v>
      </c>
      <c r="H528" s="6">
        <f t="shared" ca="1" si="25"/>
        <v>2</v>
      </c>
      <c r="I528" s="7">
        <f>INDEX('Data Mahasiswa'!$A$1:$J$701, MATCH('Data Status Pendaftar'!B528, 'Data Mahasiswa'!$A$1:$A$701, 0), 10)</f>
        <v>3.1666666666666665</v>
      </c>
      <c r="J528" s="5" t="str" cm="1">
        <f t="array" ref="J528">INDEX('Data Mahasiswa'!B528:I528,MATCH(MIN(VLOOKUP('Data Mahasiswa'!B528:I528,'Data Mahasiswa'!$N$27:$O$36,2,0)),VLOOKUP('Data Mahasiswa'!B528:I528,'Data Mahasiswa'!$N$27:$O$36,2,0),0))</f>
        <v>C</v>
      </c>
      <c r="K528" s="5" t="str">
        <f t="shared" si="26"/>
        <v>Eligible</v>
      </c>
    </row>
    <row r="529" spans="1:11" x14ac:dyDescent="0.3">
      <c r="A529" s="8">
        <v>528</v>
      </c>
      <c r="B529" s="8" t="s">
        <v>578</v>
      </c>
      <c r="C529" s="8" t="s">
        <v>1268</v>
      </c>
      <c r="D529" s="8" t="s">
        <v>780</v>
      </c>
      <c r="E529" s="9">
        <f t="shared" si="24"/>
        <v>2025</v>
      </c>
      <c r="F529" s="8" t="str">
        <f>INDEX('Data Mahasiswa'!$N$1:$Q$14, MATCH(MID('Data Status Pendaftar'!B529, 5,2), 'Data Mahasiswa'!$N$1:$N$14,0),2)</f>
        <v>Sains</v>
      </c>
      <c r="G529" s="8" t="str" cm="1">
        <f t="array" ref="G529">INDEX('Data Mahasiswa'!$Q$2:$Q$14, MATCH(MID('Data Status Pendaftar'!B529,5,3), 'Data Mahasiswa'!$N$2:$N$14&amp;TEXT('Data Mahasiswa'!$P$2:$P$14,"0"), 0))</f>
        <v>Biologi</v>
      </c>
      <c r="H529" s="9">
        <f t="shared" ca="1" si="25"/>
        <v>2</v>
      </c>
      <c r="I529" s="10">
        <f>INDEX('Data Mahasiswa'!$A$1:$J$701, MATCH('Data Status Pendaftar'!B529, 'Data Mahasiswa'!$A$1:$A$701, 0), 10)</f>
        <v>2.5</v>
      </c>
      <c r="J529" s="8" t="str" cm="1">
        <f t="array" ref="J529">INDEX('Data Mahasiswa'!B529:I529,MATCH(MIN(VLOOKUP('Data Mahasiswa'!B529:I529,'Data Mahasiswa'!$N$27:$O$36,2,0)),VLOOKUP('Data Mahasiswa'!B529:I529,'Data Mahasiswa'!$N$27:$O$36,2,0),0))</f>
        <v>D</v>
      </c>
      <c r="K529" s="8" t="str">
        <f t="shared" si="26"/>
        <v>Tidak Eligible</v>
      </c>
    </row>
    <row r="530" spans="1:11" x14ac:dyDescent="0.3">
      <c r="A530" s="5">
        <v>529</v>
      </c>
      <c r="B530" s="5" t="s">
        <v>579</v>
      </c>
      <c r="C530" s="5" t="s">
        <v>1269</v>
      </c>
      <c r="D530" s="5" t="s">
        <v>779</v>
      </c>
      <c r="E530" s="6">
        <f t="shared" si="24"/>
        <v>2025</v>
      </c>
      <c r="F530" s="5" t="str">
        <f>INDEX('Data Mahasiswa'!$N$1:$Q$14, MATCH(MID('Data Status Pendaftar'!B530, 5,2), 'Data Mahasiswa'!$N$1:$N$14,0),2)</f>
        <v>Sains</v>
      </c>
      <c r="G530" s="5" t="str" cm="1">
        <f t="array" ref="G530">INDEX('Data Mahasiswa'!$Q$2:$Q$14, MATCH(MID('Data Status Pendaftar'!B530,5,3), 'Data Mahasiswa'!$N$2:$N$14&amp;TEXT('Data Mahasiswa'!$P$2:$P$14,"0"), 0))</f>
        <v>Biologi</v>
      </c>
      <c r="H530" s="6">
        <f t="shared" ca="1" si="25"/>
        <v>2</v>
      </c>
      <c r="I530" s="7">
        <f>INDEX('Data Mahasiswa'!$A$1:$J$701, MATCH('Data Status Pendaftar'!B530, 'Data Mahasiswa'!$A$1:$A$701, 0), 10)</f>
        <v>2.9166666666666665</v>
      </c>
      <c r="J530" s="5" t="str" cm="1">
        <f t="array" ref="J530">INDEX('Data Mahasiswa'!B530:I530,MATCH(MIN(VLOOKUP('Data Mahasiswa'!B530:I530,'Data Mahasiswa'!$N$27:$O$36,2,0)),VLOOKUP('Data Mahasiswa'!B530:I530,'Data Mahasiswa'!$N$27:$O$36,2,0),0))</f>
        <v>D</v>
      </c>
      <c r="K530" s="5" t="str">
        <f t="shared" si="26"/>
        <v>Tidak Eligible</v>
      </c>
    </row>
    <row r="531" spans="1:11" x14ac:dyDescent="0.3">
      <c r="A531" s="8">
        <v>530</v>
      </c>
      <c r="B531" s="8" t="s">
        <v>580</v>
      </c>
      <c r="C531" s="8" t="s">
        <v>1270</v>
      </c>
      <c r="D531" s="8" t="s">
        <v>779</v>
      </c>
      <c r="E531" s="9">
        <f t="shared" si="24"/>
        <v>2025</v>
      </c>
      <c r="F531" s="8" t="str">
        <f>INDEX('Data Mahasiswa'!$N$1:$Q$14, MATCH(MID('Data Status Pendaftar'!B531, 5,2), 'Data Mahasiswa'!$N$1:$N$14,0),2)</f>
        <v>Sains</v>
      </c>
      <c r="G531" s="8" t="str" cm="1">
        <f t="array" ref="G531">INDEX('Data Mahasiswa'!$Q$2:$Q$14, MATCH(MID('Data Status Pendaftar'!B531,5,3), 'Data Mahasiswa'!$N$2:$N$14&amp;TEXT('Data Mahasiswa'!$P$2:$P$14,"0"), 0))</f>
        <v>Biologi</v>
      </c>
      <c r="H531" s="9">
        <f t="shared" ca="1" si="25"/>
        <v>2</v>
      </c>
      <c r="I531" s="10">
        <f>INDEX('Data Mahasiswa'!$A$1:$J$701, MATCH('Data Status Pendaftar'!B531, 'Data Mahasiswa'!$A$1:$A$701, 0), 10)</f>
        <v>3.2083333333333335</v>
      </c>
      <c r="J531" s="8" t="str" cm="1">
        <f t="array" ref="J531">INDEX('Data Mahasiswa'!B531:I531,MATCH(MIN(VLOOKUP('Data Mahasiswa'!B531:I531,'Data Mahasiswa'!$N$27:$O$36,2,0)),VLOOKUP('Data Mahasiswa'!B531:I531,'Data Mahasiswa'!$N$27:$O$36,2,0),0))</f>
        <v>C+</v>
      </c>
      <c r="K531" s="8" t="str">
        <f t="shared" si="26"/>
        <v>Eligible</v>
      </c>
    </row>
    <row r="532" spans="1:11" x14ac:dyDescent="0.3">
      <c r="A532" s="5">
        <v>531</v>
      </c>
      <c r="B532" s="5" t="s">
        <v>581</v>
      </c>
      <c r="C532" s="5" t="s">
        <v>1271</v>
      </c>
      <c r="D532" s="5" t="s">
        <v>780</v>
      </c>
      <c r="E532" s="6">
        <f t="shared" si="24"/>
        <v>2025</v>
      </c>
      <c r="F532" s="5" t="str">
        <f>INDEX('Data Mahasiswa'!$N$1:$Q$14, MATCH(MID('Data Status Pendaftar'!B532, 5,2), 'Data Mahasiswa'!$N$1:$N$14,0),2)</f>
        <v>Sains</v>
      </c>
      <c r="G532" s="5" t="str" cm="1">
        <f t="array" ref="G532">INDEX('Data Mahasiswa'!$Q$2:$Q$14, MATCH(MID('Data Status Pendaftar'!B532,5,3), 'Data Mahasiswa'!$N$2:$N$14&amp;TEXT('Data Mahasiswa'!$P$2:$P$14,"0"), 0))</f>
        <v>Biologi</v>
      </c>
      <c r="H532" s="6">
        <f t="shared" ca="1" si="25"/>
        <v>2</v>
      </c>
      <c r="I532" s="7">
        <f>INDEX('Data Mahasiswa'!$A$1:$J$701, MATCH('Data Status Pendaftar'!B532, 'Data Mahasiswa'!$A$1:$A$701, 0), 10)</f>
        <v>2.6458333333333335</v>
      </c>
      <c r="J532" s="5" t="str" cm="1">
        <f t="array" ref="J532">INDEX('Data Mahasiswa'!B532:I532,MATCH(MIN(VLOOKUP('Data Mahasiswa'!B532:I532,'Data Mahasiswa'!$N$27:$O$36,2,0)),VLOOKUP('Data Mahasiswa'!B532:I532,'Data Mahasiswa'!$N$27:$O$36,2,0),0))</f>
        <v>D</v>
      </c>
      <c r="K532" s="5" t="str">
        <f t="shared" si="26"/>
        <v>Tidak Eligible</v>
      </c>
    </row>
    <row r="533" spans="1:11" x14ac:dyDescent="0.3">
      <c r="A533" s="8">
        <v>532</v>
      </c>
      <c r="B533" s="8" t="s">
        <v>582</v>
      </c>
      <c r="C533" s="8" t="s">
        <v>1272</v>
      </c>
      <c r="D533" s="8" t="s">
        <v>779</v>
      </c>
      <c r="E533" s="9">
        <f t="shared" si="24"/>
        <v>2025</v>
      </c>
      <c r="F533" s="8" t="str">
        <f>INDEX('Data Mahasiswa'!$N$1:$Q$14, MATCH(MID('Data Status Pendaftar'!B533, 5,2), 'Data Mahasiswa'!$N$1:$N$14,0),2)</f>
        <v>Sains</v>
      </c>
      <c r="G533" s="8" t="str" cm="1">
        <f t="array" ref="G533">INDEX('Data Mahasiswa'!$Q$2:$Q$14, MATCH(MID('Data Status Pendaftar'!B533,5,3), 'Data Mahasiswa'!$N$2:$N$14&amp;TEXT('Data Mahasiswa'!$P$2:$P$14,"0"), 0))</f>
        <v>Biologi</v>
      </c>
      <c r="H533" s="9">
        <f t="shared" ca="1" si="25"/>
        <v>2</v>
      </c>
      <c r="I533" s="10">
        <f>INDEX('Data Mahasiswa'!$A$1:$J$701, MATCH('Data Status Pendaftar'!B533, 'Data Mahasiswa'!$A$1:$A$701, 0), 10)</f>
        <v>3.2604166666666665</v>
      </c>
      <c r="J533" s="8" t="str" cm="1">
        <f t="array" ref="J533">INDEX('Data Mahasiswa'!B533:I533,MATCH(MIN(VLOOKUP('Data Mahasiswa'!B533:I533,'Data Mahasiswa'!$N$27:$O$36,2,0)),VLOOKUP('Data Mahasiswa'!B533:I533,'Data Mahasiswa'!$N$27:$O$36,2,0),0))</f>
        <v>B-</v>
      </c>
      <c r="K533" s="8" t="str">
        <f t="shared" si="26"/>
        <v>Eligible</v>
      </c>
    </row>
    <row r="534" spans="1:11" x14ac:dyDescent="0.3">
      <c r="A534" s="5">
        <v>533</v>
      </c>
      <c r="B534" s="5" t="s">
        <v>583</v>
      </c>
      <c r="C534" s="5" t="s">
        <v>1273</v>
      </c>
      <c r="D534" s="5" t="s">
        <v>780</v>
      </c>
      <c r="E534" s="6">
        <f t="shared" si="24"/>
        <v>2025</v>
      </c>
      <c r="F534" s="5" t="str">
        <f>INDEX('Data Mahasiswa'!$N$1:$Q$14, MATCH(MID('Data Status Pendaftar'!B534, 5,2), 'Data Mahasiswa'!$N$1:$N$14,0),2)</f>
        <v>Sains</v>
      </c>
      <c r="G534" s="5" t="str" cm="1">
        <f t="array" ref="G534">INDEX('Data Mahasiswa'!$Q$2:$Q$14, MATCH(MID('Data Status Pendaftar'!B534,5,3), 'Data Mahasiswa'!$N$2:$N$14&amp;TEXT('Data Mahasiswa'!$P$2:$P$14,"0"), 0))</f>
        <v>Biologi</v>
      </c>
      <c r="H534" s="6">
        <f t="shared" ca="1" si="25"/>
        <v>2</v>
      </c>
      <c r="I534" s="7">
        <f>INDEX('Data Mahasiswa'!$A$1:$J$701, MATCH('Data Status Pendaftar'!B534, 'Data Mahasiswa'!$A$1:$A$701, 0), 10)</f>
        <v>3.1875</v>
      </c>
      <c r="J534" s="5" t="str" cm="1">
        <f t="array" ref="J534">INDEX('Data Mahasiswa'!B534:I534,MATCH(MIN(VLOOKUP('Data Mahasiswa'!B534:I534,'Data Mahasiswa'!$N$27:$O$36,2,0)),VLOOKUP('Data Mahasiswa'!B534:I534,'Data Mahasiswa'!$N$27:$O$36,2,0),0))</f>
        <v>C+</v>
      </c>
      <c r="K534" s="5" t="str">
        <f t="shared" si="26"/>
        <v>Eligible</v>
      </c>
    </row>
    <row r="535" spans="1:11" x14ac:dyDescent="0.3">
      <c r="A535" s="8">
        <v>534</v>
      </c>
      <c r="B535" s="8" t="s">
        <v>584</v>
      </c>
      <c r="C535" s="8" t="s">
        <v>1274</v>
      </c>
      <c r="D535" s="8" t="s">
        <v>779</v>
      </c>
      <c r="E535" s="9">
        <f t="shared" si="24"/>
        <v>2025</v>
      </c>
      <c r="F535" s="8" t="str">
        <f>INDEX('Data Mahasiswa'!$N$1:$Q$14, MATCH(MID('Data Status Pendaftar'!B535, 5,2), 'Data Mahasiswa'!$N$1:$N$14,0),2)</f>
        <v>Sains</v>
      </c>
      <c r="G535" s="8" t="str" cm="1">
        <f t="array" ref="G535">INDEX('Data Mahasiswa'!$Q$2:$Q$14, MATCH(MID('Data Status Pendaftar'!B535,5,3), 'Data Mahasiswa'!$N$2:$N$14&amp;TEXT('Data Mahasiswa'!$P$2:$P$14,"0"), 0))</f>
        <v>Biologi</v>
      </c>
      <c r="H535" s="9">
        <f t="shared" ca="1" si="25"/>
        <v>2</v>
      </c>
      <c r="I535" s="10">
        <f>INDEX('Data Mahasiswa'!$A$1:$J$701, MATCH('Data Status Pendaftar'!B535, 'Data Mahasiswa'!$A$1:$A$701, 0), 10)</f>
        <v>2.9583333333333335</v>
      </c>
      <c r="J535" s="8" t="str" cm="1">
        <f t="array" ref="J535">INDEX('Data Mahasiswa'!B535:I535,MATCH(MIN(VLOOKUP('Data Mahasiswa'!B535:I535,'Data Mahasiswa'!$N$27:$O$36,2,0)),VLOOKUP('Data Mahasiswa'!B535:I535,'Data Mahasiswa'!$N$27:$O$36,2,0),0))</f>
        <v>D</v>
      </c>
      <c r="K535" s="8" t="str">
        <f t="shared" si="26"/>
        <v>Tidak Eligible</v>
      </c>
    </row>
    <row r="536" spans="1:11" x14ac:dyDescent="0.3">
      <c r="A536" s="5">
        <v>535</v>
      </c>
      <c r="B536" s="5" t="s">
        <v>585</v>
      </c>
      <c r="C536" s="5" t="s">
        <v>1275</v>
      </c>
      <c r="D536" s="5" t="s">
        <v>780</v>
      </c>
      <c r="E536" s="6">
        <f t="shared" si="24"/>
        <v>2025</v>
      </c>
      <c r="F536" s="5" t="str">
        <f>INDEX('Data Mahasiswa'!$N$1:$Q$14, MATCH(MID('Data Status Pendaftar'!B536, 5,2), 'Data Mahasiswa'!$N$1:$N$14,0),2)</f>
        <v>Sains</v>
      </c>
      <c r="G536" s="5" t="str" cm="1">
        <f t="array" ref="G536">INDEX('Data Mahasiswa'!$Q$2:$Q$14, MATCH(MID('Data Status Pendaftar'!B536,5,3), 'Data Mahasiswa'!$N$2:$N$14&amp;TEXT('Data Mahasiswa'!$P$2:$P$14,"0"), 0))</f>
        <v>Biologi</v>
      </c>
      <c r="H536" s="6">
        <f t="shared" ca="1" si="25"/>
        <v>2</v>
      </c>
      <c r="I536" s="7">
        <f>INDEX('Data Mahasiswa'!$A$1:$J$701, MATCH('Data Status Pendaftar'!B536, 'Data Mahasiswa'!$A$1:$A$701, 0), 10)</f>
        <v>2.6145833333333335</v>
      </c>
      <c r="J536" s="5" t="str" cm="1">
        <f t="array" ref="J536">INDEX('Data Mahasiswa'!B536:I536,MATCH(MIN(VLOOKUP('Data Mahasiswa'!B536:I536,'Data Mahasiswa'!$N$27:$O$36,2,0)),VLOOKUP('Data Mahasiswa'!B536:I536,'Data Mahasiswa'!$N$27:$O$36,2,0),0))</f>
        <v>D</v>
      </c>
      <c r="K536" s="5" t="str">
        <f t="shared" si="26"/>
        <v>Tidak Eligible</v>
      </c>
    </row>
    <row r="537" spans="1:11" x14ac:dyDescent="0.3">
      <c r="A537" s="8">
        <v>536</v>
      </c>
      <c r="B537" s="8" t="s">
        <v>586</v>
      </c>
      <c r="C537" s="8" t="s">
        <v>1276</v>
      </c>
      <c r="D537" s="8" t="s">
        <v>779</v>
      </c>
      <c r="E537" s="9">
        <f t="shared" si="24"/>
        <v>2025</v>
      </c>
      <c r="F537" s="8" t="str">
        <f>INDEX('Data Mahasiswa'!$N$1:$Q$14, MATCH(MID('Data Status Pendaftar'!B537, 5,2), 'Data Mahasiswa'!$N$1:$N$14,0),2)</f>
        <v>Sains</v>
      </c>
      <c r="G537" s="8" t="str" cm="1">
        <f t="array" ref="G537">INDEX('Data Mahasiswa'!$Q$2:$Q$14, MATCH(MID('Data Status Pendaftar'!B537,5,3), 'Data Mahasiswa'!$N$2:$N$14&amp;TEXT('Data Mahasiswa'!$P$2:$P$14,"0"), 0))</f>
        <v>Biologi</v>
      </c>
      <c r="H537" s="9">
        <f t="shared" ca="1" si="25"/>
        <v>2</v>
      </c>
      <c r="I537" s="10">
        <f>INDEX('Data Mahasiswa'!$A$1:$J$701, MATCH('Data Status Pendaftar'!B537, 'Data Mahasiswa'!$A$1:$A$701, 0), 10)</f>
        <v>3.46875</v>
      </c>
      <c r="J537" s="8" t="str" cm="1">
        <f t="array" ref="J537">INDEX('Data Mahasiswa'!B537:I537,MATCH(MIN(VLOOKUP('Data Mahasiswa'!B537:I537,'Data Mahasiswa'!$N$27:$O$36,2,0)),VLOOKUP('Data Mahasiswa'!B537:I537,'Data Mahasiswa'!$N$27:$O$36,2,0),0))</f>
        <v>C+</v>
      </c>
      <c r="K537" s="8" t="str">
        <f t="shared" si="26"/>
        <v>Eligible</v>
      </c>
    </row>
    <row r="538" spans="1:11" x14ac:dyDescent="0.3">
      <c r="A538" s="5">
        <v>537</v>
      </c>
      <c r="B538" s="5" t="s">
        <v>587</v>
      </c>
      <c r="C538" s="5" t="s">
        <v>1262</v>
      </c>
      <c r="D538" s="5" t="s">
        <v>779</v>
      </c>
      <c r="E538" s="6">
        <f t="shared" si="24"/>
        <v>2025</v>
      </c>
      <c r="F538" s="5" t="str">
        <f>INDEX('Data Mahasiswa'!$N$1:$Q$14, MATCH(MID('Data Status Pendaftar'!B538, 5,2), 'Data Mahasiswa'!$N$1:$N$14,0),2)</f>
        <v>Sains</v>
      </c>
      <c r="G538" s="5" t="str" cm="1">
        <f t="array" ref="G538">INDEX('Data Mahasiswa'!$Q$2:$Q$14, MATCH(MID('Data Status Pendaftar'!B538,5,3), 'Data Mahasiswa'!$N$2:$N$14&amp;TEXT('Data Mahasiswa'!$P$2:$P$14,"0"), 0))</f>
        <v>Biologi</v>
      </c>
      <c r="H538" s="6">
        <f t="shared" ca="1" si="25"/>
        <v>2</v>
      </c>
      <c r="I538" s="7">
        <f>INDEX('Data Mahasiswa'!$A$1:$J$701, MATCH('Data Status Pendaftar'!B538, 'Data Mahasiswa'!$A$1:$A$701, 0), 10)</f>
        <v>3.1041666666666665</v>
      </c>
      <c r="J538" s="5" t="str" cm="1">
        <f t="array" ref="J538">INDEX('Data Mahasiswa'!B538:I538,MATCH(MIN(VLOOKUP('Data Mahasiswa'!B538:I538,'Data Mahasiswa'!$N$27:$O$36,2,0)),VLOOKUP('Data Mahasiswa'!B538:I538,'Data Mahasiswa'!$N$27:$O$36,2,0),0))</f>
        <v>D</v>
      </c>
      <c r="K538" s="5" t="str">
        <f t="shared" si="26"/>
        <v>Tidak Eligible</v>
      </c>
    </row>
    <row r="539" spans="1:11" x14ac:dyDescent="0.3">
      <c r="A539" s="8">
        <v>538</v>
      </c>
      <c r="B539" s="8" t="s">
        <v>588</v>
      </c>
      <c r="C539" s="8" t="s">
        <v>1277</v>
      </c>
      <c r="D539" s="8" t="s">
        <v>779</v>
      </c>
      <c r="E539" s="9">
        <f t="shared" si="24"/>
        <v>2025</v>
      </c>
      <c r="F539" s="8" t="str">
        <f>INDEX('Data Mahasiswa'!$N$1:$Q$14, MATCH(MID('Data Status Pendaftar'!B539, 5,2), 'Data Mahasiswa'!$N$1:$N$14,0),2)</f>
        <v>Sains</v>
      </c>
      <c r="G539" s="8" t="str" cm="1">
        <f t="array" ref="G539">INDEX('Data Mahasiswa'!$Q$2:$Q$14, MATCH(MID('Data Status Pendaftar'!B539,5,3), 'Data Mahasiswa'!$N$2:$N$14&amp;TEXT('Data Mahasiswa'!$P$2:$P$14,"0"), 0))</f>
        <v>Biologi</v>
      </c>
      <c r="H539" s="9">
        <f t="shared" ca="1" si="25"/>
        <v>2</v>
      </c>
      <c r="I539" s="10">
        <f>INDEX('Data Mahasiswa'!$A$1:$J$701, MATCH('Data Status Pendaftar'!B539, 'Data Mahasiswa'!$A$1:$A$701, 0), 10)</f>
        <v>3.1041666666666665</v>
      </c>
      <c r="J539" s="8" t="str" cm="1">
        <f t="array" ref="J539">INDEX('Data Mahasiswa'!B539:I539,MATCH(MIN(VLOOKUP('Data Mahasiswa'!B539:I539,'Data Mahasiswa'!$N$27:$O$36,2,0)),VLOOKUP('Data Mahasiswa'!B539:I539,'Data Mahasiswa'!$N$27:$O$36,2,0),0))</f>
        <v>D</v>
      </c>
      <c r="K539" s="8" t="str">
        <f t="shared" si="26"/>
        <v>Tidak Eligible</v>
      </c>
    </row>
    <row r="540" spans="1:11" x14ac:dyDescent="0.3">
      <c r="A540" s="5">
        <v>539</v>
      </c>
      <c r="B540" s="5" t="s">
        <v>589</v>
      </c>
      <c r="C540" s="5" t="s">
        <v>1278</v>
      </c>
      <c r="D540" s="5" t="s">
        <v>780</v>
      </c>
      <c r="E540" s="6">
        <f t="shared" si="24"/>
        <v>2025</v>
      </c>
      <c r="F540" s="5" t="str">
        <f>INDEX('Data Mahasiswa'!$N$1:$Q$14, MATCH(MID('Data Status Pendaftar'!B540, 5,2), 'Data Mahasiswa'!$N$1:$N$14,0),2)</f>
        <v>Sains</v>
      </c>
      <c r="G540" s="5" t="str" cm="1">
        <f t="array" ref="G540">INDEX('Data Mahasiswa'!$Q$2:$Q$14, MATCH(MID('Data Status Pendaftar'!B540,5,3), 'Data Mahasiswa'!$N$2:$N$14&amp;TEXT('Data Mahasiswa'!$P$2:$P$14,"0"), 0))</f>
        <v>Biologi</v>
      </c>
      <c r="H540" s="6">
        <f t="shared" ca="1" si="25"/>
        <v>2</v>
      </c>
      <c r="I540" s="7">
        <f>INDEX('Data Mahasiswa'!$A$1:$J$701, MATCH('Data Status Pendaftar'!B540, 'Data Mahasiswa'!$A$1:$A$701, 0), 10)</f>
        <v>2.6041666666666665</v>
      </c>
      <c r="J540" s="5" t="str" cm="1">
        <f t="array" ref="J540">INDEX('Data Mahasiswa'!B540:I540,MATCH(MIN(VLOOKUP('Data Mahasiswa'!B540:I540,'Data Mahasiswa'!$N$27:$O$36,2,0)),VLOOKUP('Data Mahasiswa'!B540:I540,'Data Mahasiswa'!$N$27:$O$36,2,0),0))</f>
        <v>D</v>
      </c>
      <c r="K540" s="5" t="str">
        <f t="shared" si="26"/>
        <v>Tidak Eligible</v>
      </c>
    </row>
    <row r="541" spans="1:11" x14ac:dyDescent="0.3">
      <c r="A541" s="8">
        <v>540</v>
      </c>
      <c r="B541" s="8" t="s">
        <v>590</v>
      </c>
      <c r="C541" s="8" t="s">
        <v>1279</v>
      </c>
      <c r="D541" s="8" t="s">
        <v>780</v>
      </c>
      <c r="E541" s="9">
        <f t="shared" si="24"/>
        <v>2025</v>
      </c>
      <c r="F541" s="8" t="str">
        <f>INDEX('Data Mahasiswa'!$N$1:$Q$14, MATCH(MID('Data Status Pendaftar'!B541, 5,2), 'Data Mahasiswa'!$N$1:$N$14,0),2)</f>
        <v>Teknik</v>
      </c>
      <c r="G541" s="8" t="str" cm="1">
        <f t="array" ref="G541">INDEX('Data Mahasiswa'!$Q$2:$Q$14, MATCH(MID('Data Status Pendaftar'!B541,5,3), 'Data Mahasiswa'!$N$2:$N$14&amp;TEXT('Data Mahasiswa'!$P$2:$P$14,"0"), 0))</f>
        <v>Teknik Informatika</v>
      </c>
      <c r="H541" s="9">
        <f t="shared" ca="1" si="25"/>
        <v>2</v>
      </c>
      <c r="I541" s="10">
        <f>INDEX('Data Mahasiswa'!$A$1:$J$701, MATCH('Data Status Pendaftar'!B541, 'Data Mahasiswa'!$A$1:$A$701, 0), 10)</f>
        <v>3.1666666666666665</v>
      </c>
      <c r="J541" s="8" t="str" cm="1">
        <f t="array" ref="J541">INDEX('Data Mahasiswa'!B541:I541,MATCH(MIN(VLOOKUP('Data Mahasiswa'!B541:I541,'Data Mahasiswa'!$N$27:$O$36,2,0)),VLOOKUP('Data Mahasiswa'!B541:I541,'Data Mahasiswa'!$N$27:$O$36,2,0),0))</f>
        <v>C</v>
      </c>
      <c r="K541" s="8" t="str">
        <f t="shared" si="26"/>
        <v>Eligible</v>
      </c>
    </row>
    <row r="542" spans="1:11" x14ac:dyDescent="0.3">
      <c r="A542" s="5">
        <v>541</v>
      </c>
      <c r="B542" s="5" t="s">
        <v>591</v>
      </c>
      <c r="C542" s="5" t="s">
        <v>1280</v>
      </c>
      <c r="D542" s="5" t="s">
        <v>779</v>
      </c>
      <c r="E542" s="6">
        <f t="shared" si="24"/>
        <v>2025</v>
      </c>
      <c r="F542" s="5" t="str">
        <f>INDEX('Data Mahasiswa'!$N$1:$Q$14, MATCH(MID('Data Status Pendaftar'!B542, 5,2), 'Data Mahasiswa'!$N$1:$N$14,0),2)</f>
        <v>Teknik</v>
      </c>
      <c r="G542" s="5" t="str" cm="1">
        <f t="array" ref="G542">INDEX('Data Mahasiswa'!$Q$2:$Q$14, MATCH(MID('Data Status Pendaftar'!B542,5,3), 'Data Mahasiswa'!$N$2:$N$14&amp;TEXT('Data Mahasiswa'!$P$2:$P$14,"0"), 0))</f>
        <v>Teknik Informatika</v>
      </c>
      <c r="H542" s="6">
        <f t="shared" ca="1" si="25"/>
        <v>2</v>
      </c>
      <c r="I542" s="7">
        <f>INDEX('Data Mahasiswa'!$A$1:$J$701, MATCH('Data Status Pendaftar'!B542, 'Data Mahasiswa'!$A$1:$A$701, 0), 10)</f>
        <v>3.4583333333333335</v>
      </c>
      <c r="J542" s="5" t="str" cm="1">
        <f t="array" ref="J542">INDEX('Data Mahasiswa'!B542:I542,MATCH(MIN(VLOOKUP('Data Mahasiswa'!B542:I542,'Data Mahasiswa'!$N$27:$O$36,2,0)),VLOOKUP('Data Mahasiswa'!B542:I542,'Data Mahasiswa'!$N$27:$O$36,2,0),0))</f>
        <v>B-</v>
      </c>
      <c r="K542" s="5" t="str">
        <f t="shared" si="26"/>
        <v>Eligible</v>
      </c>
    </row>
    <row r="543" spans="1:11" x14ac:dyDescent="0.3">
      <c r="A543" s="8">
        <v>542</v>
      </c>
      <c r="B543" s="8" t="s">
        <v>592</v>
      </c>
      <c r="C543" s="8" t="s">
        <v>1281</v>
      </c>
      <c r="D543" s="8" t="s">
        <v>780</v>
      </c>
      <c r="E543" s="9">
        <f t="shared" si="24"/>
        <v>2025</v>
      </c>
      <c r="F543" s="8" t="str">
        <f>INDEX('Data Mahasiswa'!$N$1:$Q$14, MATCH(MID('Data Status Pendaftar'!B543, 5,2), 'Data Mahasiswa'!$N$1:$N$14,0),2)</f>
        <v>Teknik</v>
      </c>
      <c r="G543" s="8" t="str" cm="1">
        <f t="array" ref="G543">INDEX('Data Mahasiswa'!$Q$2:$Q$14, MATCH(MID('Data Status Pendaftar'!B543,5,3), 'Data Mahasiswa'!$N$2:$N$14&amp;TEXT('Data Mahasiswa'!$P$2:$P$14,"0"), 0))</f>
        <v>Teknik Informatika</v>
      </c>
      <c r="H543" s="9">
        <f t="shared" ca="1" si="25"/>
        <v>2</v>
      </c>
      <c r="I543" s="10">
        <f>INDEX('Data Mahasiswa'!$A$1:$J$701, MATCH('Data Status Pendaftar'!B543, 'Data Mahasiswa'!$A$1:$A$701, 0), 10)</f>
        <v>2.9479166666666665</v>
      </c>
      <c r="J543" s="8" t="str" cm="1">
        <f t="array" ref="J543">INDEX('Data Mahasiswa'!B543:I543,MATCH(MIN(VLOOKUP('Data Mahasiswa'!B543:I543,'Data Mahasiswa'!$N$27:$O$36,2,0)),VLOOKUP('Data Mahasiswa'!B543:I543,'Data Mahasiswa'!$N$27:$O$36,2,0),0))</f>
        <v>E</v>
      </c>
      <c r="K543" s="8" t="str">
        <f t="shared" si="26"/>
        <v>Tidak Eligible</v>
      </c>
    </row>
    <row r="544" spans="1:11" x14ac:dyDescent="0.3">
      <c r="A544" s="5">
        <v>543</v>
      </c>
      <c r="B544" s="5" t="s">
        <v>593</v>
      </c>
      <c r="C544" s="5" t="s">
        <v>1282</v>
      </c>
      <c r="D544" s="5" t="s">
        <v>779</v>
      </c>
      <c r="E544" s="6">
        <f t="shared" si="24"/>
        <v>2025</v>
      </c>
      <c r="F544" s="5" t="str">
        <f>INDEX('Data Mahasiswa'!$N$1:$Q$14, MATCH(MID('Data Status Pendaftar'!B544, 5,2), 'Data Mahasiswa'!$N$1:$N$14,0),2)</f>
        <v>Teknik</v>
      </c>
      <c r="G544" s="5" t="str" cm="1">
        <f t="array" ref="G544">INDEX('Data Mahasiswa'!$Q$2:$Q$14, MATCH(MID('Data Status Pendaftar'!B544,5,3), 'Data Mahasiswa'!$N$2:$N$14&amp;TEXT('Data Mahasiswa'!$P$2:$P$14,"0"), 0))</f>
        <v>Teknik Informatika</v>
      </c>
      <c r="H544" s="6">
        <f t="shared" ca="1" si="25"/>
        <v>2</v>
      </c>
      <c r="I544" s="7">
        <f>INDEX('Data Mahasiswa'!$A$1:$J$701, MATCH('Data Status Pendaftar'!B544, 'Data Mahasiswa'!$A$1:$A$701, 0), 10)</f>
        <v>3.0833333333333335</v>
      </c>
      <c r="J544" s="5" t="str" cm="1">
        <f t="array" ref="J544">INDEX('Data Mahasiswa'!B544:I544,MATCH(MIN(VLOOKUP('Data Mahasiswa'!B544:I544,'Data Mahasiswa'!$N$27:$O$36,2,0)),VLOOKUP('Data Mahasiswa'!B544:I544,'Data Mahasiswa'!$N$27:$O$36,2,0),0))</f>
        <v>D</v>
      </c>
      <c r="K544" s="5" t="str">
        <f t="shared" si="26"/>
        <v>Tidak Eligible</v>
      </c>
    </row>
    <row r="545" spans="1:11" x14ac:dyDescent="0.3">
      <c r="A545" s="8">
        <v>544</v>
      </c>
      <c r="B545" s="8" t="s">
        <v>594</v>
      </c>
      <c r="C545" s="8" t="s">
        <v>1283</v>
      </c>
      <c r="D545" s="8" t="s">
        <v>780</v>
      </c>
      <c r="E545" s="9">
        <f t="shared" si="24"/>
        <v>2025</v>
      </c>
      <c r="F545" s="8" t="str">
        <f>INDEX('Data Mahasiswa'!$N$1:$Q$14, MATCH(MID('Data Status Pendaftar'!B545, 5,2), 'Data Mahasiswa'!$N$1:$N$14,0),2)</f>
        <v>Teknik</v>
      </c>
      <c r="G545" s="8" t="str" cm="1">
        <f t="array" ref="G545">INDEX('Data Mahasiswa'!$Q$2:$Q$14, MATCH(MID('Data Status Pendaftar'!B545,5,3), 'Data Mahasiswa'!$N$2:$N$14&amp;TEXT('Data Mahasiswa'!$P$2:$P$14,"0"), 0))</f>
        <v>Teknik Informatika</v>
      </c>
      <c r="H545" s="9">
        <f t="shared" ca="1" si="25"/>
        <v>2</v>
      </c>
      <c r="I545" s="10">
        <f>INDEX('Data Mahasiswa'!$A$1:$J$701, MATCH('Data Status Pendaftar'!B545, 'Data Mahasiswa'!$A$1:$A$701, 0), 10)</f>
        <v>3.5104166666666665</v>
      </c>
      <c r="J545" s="8" t="str" cm="1">
        <f t="array" ref="J545">INDEX('Data Mahasiswa'!B545:I545,MATCH(MIN(VLOOKUP('Data Mahasiswa'!B545:I545,'Data Mahasiswa'!$N$27:$O$36,2,0)),VLOOKUP('Data Mahasiswa'!B545:I545,'Data Mahasiswa'!$N$27:$O$36,2,0),0))</f>
        <v>C+</v>
      </c>
      <c r="K545" s="8" t="str">
        <f t="shared" si="26"/>
        <v>Eligible</v>
      </c>
    </row>
    <row r="546" spans="1:11" x14ac:dyDescent="0.3">
      <c r="A546" s="5">
        <v>545</v>
      </c>
      <c r="B546" s="5" t="s">
        <v>595</v>
      </c>
      <c r="C546" s="5" t="s">
        <v>1284</v>
      </c>
      <c r="D546" s="5" t="s">
        <v>780</v>
      </c>
      <c r="E546" s="6">
        <f t="shared" si="24"/>
        <v>2025</v>
      </c>
      <c r="F546" s="5" t="str">
        <f>INDEX('Data Mahasiswa'!$N$1:$Q$14, MATCH(MID('Data Status Pendaftar'!B546, 5,2), 'Data Mahasiswa'!$N$1:$N$14,0),2)</f>
        <v>Teknik</v>
      </c>
      <c r="G546" s="5" t="str" cm="1">
        <f t="array" ref="G546">INDEX('Data Mahasiswa'!$Q$2:$Q$14, MATCH(MID('Data Status Pendaftar'!B546,5,3), 'Data Mahasiswa'!$N$2:$N$14&amp;TEXT('Data Mahasiswa'!$P$2:$P$14,"0"), 0))</f>
        <v>Teknik Informatika</v>
      </c>
      <c r="H546" s="6">
        <f t="shared" ca="1" si="25"/>
        <v>2</v>
      </c>
      <c r="I546" s="7">
        <f>INDEX('Data Mahasiswa'!$A$1:$J$701, MATCH('Data Status Pendaftar'!B546, 'Data Mahasiswa'!$A$1:$A$701, 0), 10)</f>
        <v>3.3020833333333335</v>
      </c>
      <c r="J546" s="5" t="str" cm="1">
        <f t="array" ref="J546">INDEX('Data Mahasiswa'!B546:I546,MATCH(MIN(VLOOKUP('Data Mahasiswa'!B546:I546,'Data Mahasiswa'!$N$27:$O$36,2,0)),VLOOKUP('Data Mahasiswa'!B546:I546,'Data Mahasiswa'!$N$27:$O$36,2,0),0))</f>
        <v>C</v>
      </c>
      <c r="K546" s="5" t="str">
        <f t="shared" si="26"/>
        <v>Eligible</v>
      </c>
    </row>
    <row r="547" spans="1:11" x14ac:dyDescent="0.3">
      <c r="A547" s="8">
        <v>546</v>
      </c>
      <c r="B547" s="8" t="s">
        <v>596</v>
      </c>
      <c r="C547" s="8" t="s">
        <v>1285</v>
      </c>
      <c r="D547" s="8" t="s">
        <v>780</v>
      </c>
      <c r="E547" s="9">
        <f t="shared" si="24"/>
        <v>2025</v>
      </c>
      <c r="F547" s="8" t="str">
        <f>INDEX('Data Mahasiswa'!$N$1:$Q$14, MATCH(MID('Data Status Pendaftar'!B547, 5,2), 'Data Mahasiswa'!$N$1:$N$14,0),2)</f>
        <v>Teknik</v>
      </c>
      <c r="G547" s="8" t="str" cm="1">
        <f t="array" ref="G547">INDEX('Data Mahasiswa'!$Q$2:$Q$14, MATCH(MID('Data Status Pendaftar'!B547,5,3), 'Data Mahasiswa'!$N$2:$N$14&amp;TEXT('Data Mahasiswa'!$P$2:$P$14,"0"), 0))</f>
        <v>Teknik Informatika</v>
      </c>
      <c r="H547" s="9">
        <f t="shared" ca="1" si="25"/>
        <v>2</v>
      </c>
      <c r="I547" s="10">
        <f>INDEX('Data Mahasiswa'!$A$1:$J$701, MATCH('Data Status Pendaftar'!B547, 'Data Mahasiswa'!$A$1:$A$701, 0), 10)</f>
        <v>3.15625</v>
      </c>
      <c r="J547" s="8" t="str" cm="1">
        <f t="array" ref="J547">INDEX('Data Mahasiswa'!B547:I547,MATCH(MIN(VLOOKUP('Data Mahasiswa'!B547:I547,'Data Mahasiswa'!$N$27:$O$36,2,0)),VLOOKUP('Data Mahasiswa'!B547:I547,'Data Mahasiswa'!$N$27:$O$36,2,0),0))</f>
        <v>C+</v>
      </c>
      <c r="K547" s="8" t="str">
        <f t="shared" si="26"/>
        <v>Eligible</v>
      </c>
    </row>
    <row r="548" spans="1:11" x14ac:dyDescent="0.3">
      <c r="A548" s="5">
        <v>547</v>
      </c>
      <c r="B548" s="5" t="s">
        <v>597</v>
      </c>
      <c r="C548" s="5" t="s">
        <v>787</v>
      </c>
      <c r="D548" s="5" t="s">
        <v>779</v>
      </c>
      <c r="E548" s="6">
        <f t="shared" si="24"/>
        <v>2025</v>
      </c>
      <c r="F548" s="5" t="str">
        <f>INDEX('Data Mahasiswa'!$N$1:$Q$14, MATCH(MID('Data Status Pendaftar'!B548, 5,2), 'Data Mahasiswa'!$N$1:$N$14,0),2)</f>
        <v>Teknik</v>
      </c>
      <c r="G548" s="5" t="str" cm="1">
        <f t="array" ref="G548">INDEX('Data Mahasiswa'!$Q$2:$Q$14, MATCH(MID('Data Status Pendaftar'!B548,5,3), 'Data Mahasiswa'!$N$2:$N$14&amp;TEXT('Data Mahasiswa'!$P$2:$P$14,"0"), 0))</f>
        <v>Teknik Informatika</v>
      </c>
      <c r="H548" s="6">
        <f t="shared" ca="1" si="25"/>
        <v>2</v>
      </c>
      <c r="I548" s="7">
        <f>INDEX('Data Mahasiswa'!$A$1:$J$701, MATCH('Data Status Pendaftar'!B548, 'Data Mahasiswa'!$A$1:$A$701, 0), 10)</f>
        <v>3.09375</v>
      </c>
      <c r="J548" s="5" t="str" cm="1">
        <f t="array" ref="J548">INDEX('Data Mahasiswa'!B548:I548,MATCH(MIN(VLOOKUP('Data Mahasiswa'!B548:I548,'Data Mahasiswa'!$N$27:$O$36,2,0)),VLOOKUP('Data Mahasiswa'!B548:I548,'Data Mahasiswa'!$N$27:$O$36,2,0),0))</f>
        <v>C+</v>
      </c>
      <c r="K548" s="5" t="str">
        <f t="shared" si="26"/>
        <v>Eligible</v>
      </c>
    </row>
    <row r="549" spans="1:11" x14ac:dyDescent="0.3">
      <c r="A549" s="8">
        <v>548</v>
      </c>
      <c r="B549" s="8" t="s">
        <v>598</v>
      </c>
      <c r="C549" s="8" t="s">
        <v>1286</v>
      </c>
      <c r="D549" s="8" t="s">
        <v>779</v>
      </c>
      <c r="E549" s="9">
        <f t="shared" si="24"/>
        <v>2025</v>
      </c>
      <c r="F549" s="8" t="str">
        <f>INDEX('Data Mahasiswa'!$N$1:$Q$14, MATCH(MID('Data Status Pendaftar'!B549, 5,2), 'Data Mahasiswa'!$N$1:$N$14,0),2)</f>
        <v>Teknik</v>
      </c>
      <c r="G549" s="8" t="str" cm="1">
        <f t="array" ref="G549">INDEX('Data Mahasiswa'!$Q$2:$Q$14, MATCH(MID('Data Status Pendaftar'!B549,5,3), 'Data Mahasiswa'!$N$2:$N$14&amp;TEXT('Data Mahasiswa'!$P$2:$P$14,"0"), 0))</f>
        <v>Teknik Informatika</v>
      </c>
      <c r="H549" s="9">
        <f t="shared" ca="1" si="25"/>
        <v>2</v>
      </c>
      <c r="I549" s="10">
        <f>INDEX('Data Mahasiswa'!$A$1:$J$701, MATCH('Data Status Pendaftar'!B549, 'Data Mahasiswa'!$A$1:$A$701, 0), 10)</f>
        <v>3.6354166666666665</v>
      </c>
      <c r="J549" s="8" t="str" cm="1">
        <f t="array" ref="J549">INDEX('Data Mahasiswa'!B549:I549,MATCH(MIN(VLOOKUP('Data Mahasiswa'!B549:I549,'Data Mahasiswa'!$N$27:$O$36,2,0)),VLOOKUP('Data Mahasiswa'!B549:I549,'Data Mahasiswa'!$N$27:$O$36,2,0),0))</f>
        <v>B-</v>
      </c>
      <c r="K549" s="8" t="str">
        <f t="shared" si="26"/>
        <v>Eligible</v>
      </c>
    </row>
    <row r="550" spans="1:11" x14ac:dyDescent="0.3">
      <c r="A550" s="5">
        <v>549</v>
      </c>
      <c r="B550" s="5" t="s">
        <v>599</v>
      </c>
      <c r="C550" s="5" t="s">
        <v>1287</v>
      </c>
      <c r="D550" s="5" t="s">
        <v>780</v>
      </c>
      <c r="E550" s="6">
        <f t="shared" si="24"/>
        <v>2025</v>
      </c>
      <c r="F550" s="5" t="str">
        <f>INDEX('Data Mahasiswa'!$N$1:$Q$14, MATCH(MID('Data Status Pendaftar'!B550, 5,2), 'Data Mahasiswa'!$N$1:$N$14,0),2)</f>
        <v>Teknik</v>
      </c>
      <c r="G550" s="5" t="str" cm="1">
        <f t="array" ref="G550">INDEX('Data Mahasiswa'!$Q$2:$Q$14, MATCH(MID('Data Status Pendaftar'!B550,5,3), 'Data Mahasiswa'!$N$2:$N$14&amp;TEXT('Data Mahasiswa'!$P$2:$P$14,"0"), 0))</f>
        <v>Teknik Informatika</v>
      </c>
      <c r="H550" s="6">
        <f t="shared" ca="1" si="25"/>
        <v>2</v>
      </c>
      <c r="I550" s="7">
        <f>INDEX('Data Mahasiswa'!$A$1:$J$701, MATCH('Data Status Pendaftar'!B550, 'Data Mahasiswa'!$A$1:$A$701, 0), 10)</f>
        <v>3.0625</v>
      </c>
      <c r="J550" s="5" t="str" cm="1">
        <f t="array" ref="J550">INDEX('Data Mahasiswa'!B550:I550,MATCH(MIN(VLOOKUP('Data Mahasiswa'!B550:I550,'Data Mahasiswa'!$N$27:$O$36,2,0)),VLOOKUP('Data Mahasiswa'!B550:I550,'Data Mahasiswa'!$N$27:$O$36,2,0),0))</f>
        <v>B-</v>
      </c>
      <c r="K550" s="5" t="str">
        <f t="shared" si="26"/>
        <v>Eligible</v>
      </c>
    </row>
    <row r="551" spans="1:11" x14ac:dyDescent="0.3">
      <c r="A551" s="8">
        <v>550</v>
      </c>
      <c r="B551" s="8" t="s">
        <v>600</v>
      </c>
      <c r="C551" s="8" t="s">
        <v>1288</v>
      </c>
      <c r="D551" s="8" t="s">
        <v>780</v>
      </c>
      <c r="E551" s="9">
        <f t="shared" si="24"/>
        <v>2025</v>
      </c>
      <c r="F551" s="8" t="str">
        <f>INDEX('Data Mahasiswa'!$N$1:$Q$14, MATCH(MID('Data Status Pendaftar'!B551, 5,2), 'Data Mahasiswa'!$N$1:$N$14,0),2)</f>
        <v>Teknik</v>
      </c>
      <c r="G551" s="8" t="str" cm="1">
        <f t="array" ref="G551">INDEX('Data Mahasiswa'!$Q$2:$Q$14, MATCH(MID('Data Status Pendaftar'!B551,5,3), 'Data Mahasiswa'!$N$2:$N$14&amp;TEXT('Data Mahasiswa'!$P$2:$P$14,"0"), 0))</f>
        <v>Teknik Informatika</v>
      </c>
      <c r="H551" s="9">
        <f t="shared" ca="1" si="25"/>
        <v>2</v>
      </c>
      <c r="I551" s="10">
        <f>INDEX('Data Mahasiswa'!$A$1:$J$701, MATCH('Data Status Pendaftar'!B551, 'Data Mahasiswa'!$A$1:$A$701, 0), 10)</f>
        <v>3.21875</v>
      </c>
      <c r="J551" s="8" t="str" cm="1">
        <f t="array" ref="J551">INDEX('Data Mahasiswa'!B551:I551,MATCH(MIN(VLOOKUP('Data Mahasiswa'!B551:I551,'Data Mahasiswa'!$N$27:$O$36,2,0)),VLOOKUP('Data Mahasiswa'!B551:I551,'Data Mahasiswa'!$N$27:$O$36,2,0),0))</f>
        <v>C</v>
      </c>
      <c r="K551" s="8" t="str">
        <f t="shared" si="26"/>
        <v>Eligible</v>
      </c>
    </row>
    <row r="552" spans="1:11" x14ac:dyDescent="0.3">
      <c r="A552" s="5">
        <v>551</v>
      </c>
      <c r="B552" s="5" t="s">
        <v>601</v>
      </c>
      <c r="C552" s="5" t="s">
        <v>1289</v>
      </c>
      <c r="D552" s="5" t="s">
        <v>779</v>
      </c>
      <c r="E552" s="6">
        <f t="shared" si="24"/>
        <v>2025</v>
      </c>
      <c r="F552" s="5" t="str">
        <f>INDEX('Data Mahasiswa'!$N$1:$Q$14, MATCH(MID('Data Status Pendaftar'!B552, 5,2), 'Data Mahasiswa'!$N$1:$N$14,0),2)</f>
        <v>Teknik</v>
      </c>
      <c r="G552" s="5" t="str" cm="1">
        <f t="array" ref="G552">INDEX('Data Mahasiswa'!$Q$2:$Q$14, MATCH(MID('Data Status Pendaftar'!B552,5,3), 'Data Mahasiswa'!$N$2:$N$14&amp;TEXT('Data Mahasiswa'!$P$2:$P$14,"0"), 0))</f>
        <v>Teknik Informatika</v>
      </c>
      <c r="H552" s="6">
        <f t="shared" ca="1" si="25"/>
        <v>2</v>
      </c>
      <c r="I552" s="7">
        <f>INDEX('Data Mahasiswa'!$A$1:$J$701, MATCH('Data Status Pendaftar'!B552, 'Data Mahasiswa'!$A$1:$A$701, 0), 10)</f>
        <v>2.5833333333333335</v>
      </c>
      <c r="J552" s="5" t="str" cm="1">
        <f t="array" ref="J552">INDEX('Data Mahasiswa'!B552:I552,MATCH(MIN(VLOOKUP('Data Mahasiswa'!B552:I552,'Data Mahasiswa'!$N$27:$O$36,2,0)),VLOOKUP('Data Mahasiswa'!B552:I552,'Data Mahasiswa'!$N$27:$O$36,2,0),0))</f>
        <v>D</v>
      </c>
      <c r="K552" s="5" t="str">
        <f t="shared" si="26"/>
        <v>Tidak Eligible</v>
      </c>
    </row>
    <row r="553" spans="1:11" x14ac:dyDescent="0.3">
      <c r="A553" s="8">
        <v>552</v>
      </c>
      <c r="B553" s="8" t="s">
        <v>602</v>
      </c>
      <c r="C553" s="8" t="s">
        <v>1290</v>
      </c>
      <c r="D553" s="8" t="s">
        <v>780</v>
      </c>
      <c r="E553" s="9">
        <f t="shared" si="24"/>
        <v>2025</v>
      </c>
      <c r="F553" s="8" t="str">
        <f>INDEX('Data Mahasiswa'!$N$1:$Q$14, MATCH(MID('Data Status Pendaftar'!B553, 5,2), 'Data Mahasiswa'!$N$1:$N$14,0),2)</f>
        <v>Teknik</v>
      </c>
      <c r="G553" s="8" t="str" cm="1">
        <f t="array" ref="G553">INDEX('Data Mahasiswa'!$Q$2:$Q$14, MATCH(MID('Data Status Pendaftar'!B553,5,3), 'Data Mahasiswa'!$N$2:$N$14&amp;TEXT('Data Mahasiswa'!$P$2:$P$14,"0"), 0))</f>
        <v>Teknik Industri</v>
      </c>
      <c r="H553" s="9">
        <f t="shared" ca="1" si="25"/>
        <v>2</v>
      </c>
      <c r="I553" s="10">
        <f>INDEX('Data Mahasiswa'!$A$1:$J$701, MATCH('Data Status Pendaftar'!B553, 'Data Mahasiswa'!$A$1:$A$701, 0), 10)</f>
        <v>3.0208333333333335</v>
      </c>
      <c r="J553" s="8" t="str" cm="1">
        <f t="array" ref="J553">INDEX('Data Mahasiswa'!B553:I553,MATCH(MIN(VLOOKUP('Data Mahasiswa'!B553:I553,'Data Mahasiswa'!$N$27:$O$36,2,0)),VLOOKUP('Data Mahasiswa'!B553:I553,'Data Mahasiswa'!$N$27:$O$36,2,0),0))</f>
        <v>D</v>
      </c>
      <c r="K553" s="8" t="str">
        <f t="shared" si="26"/>
        <v>Tidak Eligible</v>
      </c>
    </row>
    <row r="554" spans="1:11" x14ac:dyDescent="0.3">
      <c r="A554" s="5">
        <v>553</v>
      </c>
      <c r="B554" s="5" t="s">
        <v>603</v>
      </c>
      <c r="C554" s="5" t="s">
        <v>1291</v>
      </c>
      <c r="D554" s="5" t="s">
        <v>780</v>
      </c>
      <c r="E554" s="6">
        <f t="shared" si="24"/>
        <v>2025</v>
      </c>
      <c r="F554" s="5" t="str">
        <f>INDEX('Data Mahasiswa'!$N$1:$Q$14, MATCH(MID('Data Status Pendaftar'!B554, 5,2), 'Data Mahasiswa'!$N$1:$N$14,0),2)</f>
        <v>Teknik</v>
      </c>
      <c r="G554" s="5" t="str" cm="1">
        <f t="array" ref="G554">INDEX('Data Mahasiswa'!$Q$2:$Q$14, MATCH(MID('Data Status Pendaftar'!B554,5,3), 'Data Mahasiswa'!$N$2:$N$14&amp;TEXT('Data Mahasiswa'!$P$2:$P$14,"0"), 0))</f>
        <v>Teknik Industri</v>
      </c>
      <c r="H554" s="6">
        <f t="shared" ca="1" si="25"/>
        <v>2</v>
      </c>
      <c r="I554" s="7">
        <f>INDEX('Data Mahasiswa'!$A$1:$J$701, MATCH('Data Status Pendaftar'!B554, 'Data Mahasiswa'!$A$1:$A$701, 0), 10)</f>
        <v>3.21875</v>
      </c>
      <c r="J554" s="5" t="str" cm="1">
        <f t="array" ref="J554">INDEX('Data Mahasiswa'!B554:I554,MATCH(MIN(VLOOKUP('Data Mahasiswa'!B554:I554,'Data Mahasiswa'!$N$27:$O$36,2,0)),VLOOKUP('Data Mahasiswa'!B554:I554,'Data Mahasiswa'!$N$27:$O$36,2,0),0))</f>
        <v>B-</v>
      </c>
      <c r="K554" s="5" t="str">
        <f t="shared" si="26"/>
        <v>Eligible</v>
      </c>
    </row>
    <row r="555" spans="1:11" x14ac:dyDescent="0.3">
      <c r="A555" s="8">
        <v>554</v>
      </c>
      <c r="B555" s="8" t="s">
        <v>604</v>
      </c>
      <c r="C555" s="8" t="s">
        <v>1292</v>
      </c>
      <c r="D555" s="8" t="s">
        <v>780</v>
      </c>
      <c r="E555" s="9">
        <f t="shared" si="24"/>
        <v>2025</v>
      </c>
      <c r="F555" s="8" t="str">
        <f>INDEX('Data Mahasiswa'!$N$1:$Q$14, MATCH(MID('Data Status Pendaftar'!B555, 5,2), 'Data Mahasiswa'!$N$1:$N$14,0),2)</f>
        <v>Teknik</v>
      </c>
      <c r="G555" s="8" t="str" cm="1">
        <f t="array" ref="G555">INDEX('Data Mahasiswa'!$Q$2:$Q$14, MATCH(MID('Data Status Pendaftar'!B555,5,3), 'Data Mahasiswa'!$N$2:$N$14&amp;TEXT('Data Mahasiswa'!$P$2:$P$14,"0"), 0))</f>
        <v>Teknik Industri</v>
      </c>
      <c r="H555" s="9">
        <f t="shared" ca="1" si="25"/>
        <v>2</v>
      </c>
      <c r="I555" s="10">
        <f>INDEX('Data Mahasiswa'!$A$1:$J$701, MATCH('Data Status Pendaftar'!B555, 'Data Mahasiswa'!$A$1:$A$701, 0), 10)</f>
        <v>3.3854166666666665</v>
      </c>
      <c r="J555" s="8" t="str" cm="1">
        <f t="array" ref="J555">INDEX('Data Mahasiswa'!B555:I555,MATCH(MIN(VLOOKUP('Data Mahasiswa'!B555:I555,'Data Mahasiswa'!$N$27:$O$36,2,0)),VLOOKUP('Data Mahasiswa'!B555:I555,'Data Mahasiswa'!$N$27:$O$36,2,0),0))</f>
        <v>C+</v>
      </c>
      <c r="K555" s="8" t="str">
        <f t="shared" si="26"/>
        <v>Eligible</v>
      </c>
    </row>
    <row r="556" spans="1:11" x14ac:dyDescent="0.3">
      <c r="A556" s="5">
        <v>555</v>
      </c>
      <c r="B556" s="5" t="s">
        <v>605</v>
      </c>
      <c r="C556" s="5" t="s">
        <v>1293</v>
      </c>
      <c r="D556" s="5" t="s">
        <v>779</v>
      </c>
      <c r="E556" s="6">
        <f t="shared" si="24"/>
        <v>2025</v>
      </c>
      <c r="F556" s="5" t="str">
        <f>INDEX('Data Mahasiswa'!$N$1:$Q$14, MATCH(MID('Data Status Pendaftar'!B556, 5,2), 'Data Mahasiswa'!$N$1:$N$14,0),2)</f>
        <v>Teknik</v>
      </c>
      <c r="G556" s="5" t="str" cm="1">
        <f t="array" ref="G556">INDEX('Data Mahasiswa'!$Q$2:$Q$14, MATCH(MID('Data Status Pendaftar'!B556,5,3), 'Data Mahasiswa'!$N$2:$N$14&amp;TEXT('Data Mahasiswa'!$P$2:$P$14,"0"), 0))</f>
        <v>Teknik Industri</v>
      </c>
      <c r="H556" s="6">
        <f t="shared" ca="1" si="25"/>
        <v>2</v>
      </c>
      <c r="I556" s="7">
        <f>INDEX('Data Mahasiswa'!$A$1:$J$701, MATCH('Data Status Pendaftar'!B556, 'Data Mahasiswa'!$A$1:$A$701, 0), 10)</f>
        <v>2.625</v>
      </c>
      <c r="J556" s="5" t="str" cm="1">
        <f t="array" ref="J556">INDEX('Data Mahasiswa'!B556:I556,MATCH(MIN(VLOOKUP('Data Mahasiswa'!B556:I556,'Data Mahasiswa'!$N$27:$O$36,2,0)),VLOOKUP('Data Mahasiswa'!B556:I556,'Data Mahasiswa'!$N$27:$O$36,2,0),0))</f>
        <v>D</v>
      </c>
      <c r="K556" s="5" t="str">
        <f t="shared" si="26"/>
        <v>Tidak Eligible</v>
      </c>
    </row>
    <row r="557" spans="1:11" x14ac:dyDescent="0.3">
      <c r="A557" s="8">
        <v>556</v>
      </c>
      <c r="B557" s="8" t="s">
        <v>606</v>
      </c>
      <c r="C557" s="8" t="s">
        <v>1294</v>
      </c>
      <c r="D557" s="8" t="s">
        <v>779</v>
      </c>
      <c r="E557" s="9">
        <f t="shared" si="24"/>
        <v>2025</v>
      </c>
      <c r="F557" s="8" t="str">
        <f>INDEX('Data Mahasiswa'!$N$1:$Q$14, MATCH(MID('Data Status Pendaftar'!B557, 5,2), 'Data Mahasiswa'!$N$1:$N$14,0),2)</f>
        <v>Teknik</v>
      </c>
      <c r="G557" s="8" t="str" cm="1">
        <f t="array" ref="G557">INDEX('Data Mahasiswa'!$Q$2:$Q$14, MATCH(MID('Data Status Pendaftar'!B557,5,3), 'Data Mahasiswa'!$N$2:$N$14&amp;TEXT('Data Mahasiswa'!$P$2:$P$14,"0"), 0))</f>
        <v>Teknik Industri</v>
      </c>
      <c r="H557" s="9">
        <f t="shared" ca="1" si="25"/>
        <v>2</v>
      </c>
      <c r="I557" s="10">
        <f>INDEX('Data Mahasiswa'!$A$1:$J$701, MATCH('Data Status Pendaftar'!B557, 'Data Mahasiswa'!$A$1:$A$701, 0), 10)</f>
        <v>2.7395833333333335</v>
      </c>
      <c r="J557" s="8" t="str" cm="1">
        <f t="array" ref="J557">INDEX('Data Mahasiswa'!B557:I557,MATCH(MIN(VLOOKUP('Data Mahasiswa'!B557:I557,'Data Mahasiswa'!$N$27:$O$36,2,0)),VLOOKUP('Data Mahasiswa'!B557:I557,'Data Mahasiswa'!$N$27:$O$36,2,0),0))</f>
        <v>E</v>
      </c>
      <c r="K557" s="8" t="str">
        <f t="shared" si="26"/>
        <v>Tidak Eligible</v>
      </c>
    </row>
    <row r="558" spans="1:11" x14ac:dyDescent="0.3">
      <c r="A558" s="5">
        <v>557</v>
      </c>
      <c r="B558" s="5" t="s">
        <v>607</v>
      </c>
      <c r="C558" s="5" t="s">
        <v>1295</v>
      </c>
      <c r="D558" s="5" t="s">
        <v>780</v>
      </c>
      <c r="E558" s="6">
        <f t="shared" si="24"/>
        <v>2025</v>
      </c>
      <c r="F558" s="5" t="str">
        <f>INDEX('Data Mahasiswa'!$N$1:$Q$14, MATCH(MID('Data Status Pendaftar'!B558, 5,2), 'Data Mahasiswa'!$N$1:$N$14,0),2)</f>
        <v>Teknik</v>
      </c>
      <c r="G558" s="5" t="str" cm="1">
        <f t="array" ref="G558">INDEX('Data Mahasiswa'!$Q$2:$Q$14, MATCH(MID('Data Status Pendaftar'!B558,5,3), 'Data Mahasiswa'!$N$2:$N$14&amp;TEXT('Data Mahasiswa'!$P$2:$P$14,"0"), 0))</f>
        <v>Teknik Industri</v>
      </c>
      <c r="H558" s="6">
        <f t="shared" ca="1" si="25"/>
        <v>2</v>
      </c>
      <c r="I558" s="7">
        <f>INDEX('Data Mahasiswa'!$A$1:$J$701, MATCH('Data Status Pendaftar'!B558, 'Data Mahasiswa'!$A$1:$A$701, 0), 10)</f>
        <v>3.3229166666666665</v>
      </c>
      <c r="J558" s="5" t="str" cm="1">
        <f t="array" ref="J558">INDEX('Data Mahasiswa'!B558:I558,MATCH(MIN(VLOOKUP('Data Mahasiswa'!B558:I558,'Data Mahasiswa'!$N$27:$O$36,2,0)),VLOOKUP('Data Mahasiswa'!B558:I558,'Data Mahasiswa'!$N$27:$O$36,2,0),0))</f>
        <v>C+</v>
      </c>
      <c r="K558" s="5" t="str">
        <f t="shared" si="26"/>
        <v>Eligible</v>
      </c>
    </row>
    <row r="559" spans="1:11" x14ac:dyDescent="0.3">
      <c r="A559" s="8">
        <v>558</v>
      </c>
      <c r="B559" s="8" t="s">
        <v>608</v>
      </c>
      <c r="C559" s="8" t="s">
        <v>1296</v>
      </c>
      <c r="D559" s="8" t="s">
        <v>780</v>
      </c>
      <c r="E559" s="9">
        <f t="shared" si="24"/>
        <v>2025</v>
      </c>
      <c r="F559" s="8" t="str">
        <f>INDEX('Data Mahasiswa'!$N$1:$Q$14, MATCH(MID('Data Status Pendaftar'!B559, 5,2), 'Data Mahasiswa'!$N$1:$N$14,0),2)</f>
        <v>Teknik</v>
      </c>
      <c r="G559" s="8" t="str" cm="1">
        <f t="array" ref="G559">INDEX('Data Mahasiswa'!$Q$2:$Q$14, MATCH(MID('Data Status Pendaftar'!B559,5,3), 'Data Mahasiswa'!$N$2:$N$14&amp;TEXT('Data Mahasiswa'!$P$2:$P$14,"0"), 0))</f>
        <v>Teknik Industri</v>
      </c>
      <c r="H559" s="9">
        <f t="shared" ca="1" si="25"/>
        <v>2</v>
      </c>
      <c r="I559" s="10">
        <f>INDEX('Data Mahasiswa'!$A$1:$J$701, MATCH('Data Status Pendaftar'!B559, 'Data Mahasiswa'!$A$1:$A$701, 0), 10)</f>
        <v>3.3333333333333335</v>
      </c>
      <c r="J559" s="8" t="str" cm="1">
        <f t="array" ref="J559">INDEX('Data Mahasiswa'!B559:I559,MATCH(MIN(VLOOKUP('Data Mahasiswa'!B559:I559,'Data Mahasiswa'!$N$27:$O$36,2,0)),VLOOKUP('Data Mahasiswa'!B559:I559,'Data Mahasiswa'!$N$27:$O$36,2,0),0))</f>
        <v>D</v>
      </c>
      <c r="K559" s="8" t="str">
        <f t="shared" si="26"/>
        <v>Tidak Eligible</v>
      </c>
    </row>
    <row r="560" spans="1:11" x14ac:dyDescent="0.3">
      <c r="A560" s="5">
        <v>559</v>
      </c>
      <c r="B560" s="5" t="s">
        <v>609</v>
      </c>
      <c r="C560" s="5" t="s">
        <v>1297</v>
      </c>
      <c r="D560" s="5" t="s">
        <v>779</v>
      </c>
      <c r="E560" s="6">
        <f t="shared" si="24"/>
        <v>2025</v>
      </c>
      <c r="F560" s="5" t="str">
        <f>INDEX('Data Mahasiswa'!$N$1:$Q$14, MATCH(MID('Data Status Pendaftar'!B560, 5,2), 'Data Mahasiswa'!$N$1:$N$14,0),2)</f>
        <v>Teknik</v>
      </c>
      <c r="G560" s="5" t="str" cm="1">
        <f t="array" ref="G560">INDEX('Data Mahasiswa'!$Q$2:$Q$14, MATCH(MID('Data Status Pendaftar'!B560,5,3), 'Data Mahasiswa'!$N$2:$N$14&amp;TEXT('Data Mahasiswa'!$P$2:$P$14,"0"), 0))</f>
        <v>Teknik Industri</v>
      </c>
      <c r="H560" s="6">
        <f t="shared" ca="1" si="25"/>
        <v>2</v>
      </c>
      <c r="I560" s="7">
        <f>INDEX('Data Mahasiswa'!$A$1:$J$701, MATCH('Data Status Pendaftar'!B560, 'Data Mahasiswa'!$A$1:$A$701, 0), 10)</f>
        <v>3.4270833333333335</v>
      </c>
      <c r="J560" s="5" t="str" cm="1">
        <f t="array" ref="J560">INDEX('Data Mahasiswa'!B560:I560,MATCH(MIN(VLOOKUP('Data Mahasiswa'!B560:I560,'Data Mahasiswa'!$N$27:$O$36,2,0)),VLOOKUP('Data Mahasiswa'!B560:I560,'Data Mahasiswa'!$N$27:$O$36,2,0),0))</f>
        <v>C+</v>
      </c>
      <c r="K560" s="5" t="str">
        <f t="shared" si="26"/>
        <v>Eligible</v>
      </c>
    </row>
    <row r="561" spans="1:11" x14ac:dyDescent="0.3">
      <c r="A561" s="8">
        <v>560</v>
      </c>
      <c r="B561" s="8" t="s">
        <v>610</v>
      </c>
      <c r="C561" s="8" t="s">
        <v>1298</v>
      </c>
      <c r="D561" s="8" t="s">
        <v>780</v>
      </c>
      <c r="E561" s="9">
        <f t="shared" si="24"/>
        <v>2025</v>
      </c>
      <c r="F561" s="8" t="str">
        <f>INDEX('Data Mahasiswa'!$N$1:$Q$14, MATCH(MID('Data Status Pendaftar'!B561, 5,2), 'Data Mahasiswa'!$N$1:$N$14,0),2)</f>
        <v>Teknik</v>
      </c>
      <c r="G561" s="8" t="str" cm="1">
        <f t="array" ref="G561">INDEX('Data Mahasiswa'!$Q$2:$Q$14, MATCH(MID('Data Status Pendaftar'!B561,5,3), 'Data Mahasiswa'!$N$2:$N$14&amp;TEXT('Data Mahasiswa'!$P$2:$P$14,"0"), 0))</f>
        <v>Teknik Industri</v>
      </c>
      <c r="H561" s="9">
        <f t="shared" ca="1" si="25"/>
        <v>2</v>
      </c>
      <c r="I561" s="10">
        <f>INDEX('Data Mahasiswa'!$A$1:$J$701, MATCH('Data Status Pendaftar'!B561, 'Data Mahasiswa'!$A$1:$A$701, 0), 10)</f>
        <v>3.2291666666666665</v>
      </c>
      <c r="J561" s="8" t="str" cm="1">
        <f t="array" ref="J561">INDEX('Data Mahasiswa'!B561:I561,MATCH(MIN(VLOOKUP('Data Mahasiswa'!B561:I561,'Data Mahasiswa'!$N$27:$O$36,2,0)),VLOOKUP('Data Mahasiswa'!B561:I561,'Data Mahasiswa'!$N$27:$O$36,2,0),0))</f>
        <v>E</v>
      </c>
      <c r="K561" s="8" t="str">
        <f t="shared" si="26"/>
        <v>Tidak Eligible</v>
      </c>
    </row>
    <row r="562" spans="1:11" x14ac:dyDescent="0.3">
      <c r="A562" s="5">
        <v>561</v>
      </c>
      <c r="B562" s="5" t="s">
        <v>611</v>
      </c>
      <c r="C562" s="5" t="s">
        <v>1299</v>
      </c>
      <c r="D562" s="5" t="s">
        <v>779</v>
      </c>
      <c r="E562" s="6">
        <f t="shared" si="24"/>
        <v>2025</v>
      </c>
      <c r="F562" s="5" t="str">
        <f>INDEX('Data Mahasiswa'!$N$1:$Q$14, MATCH(MID('Data Status Pendaftar'!B562, 5,2), 'Data Mahasiswa'!$N$1:$N$14,0),2)</f>
        <v>Teknik</v>
      </c>
      <c r="G562" s="5" t="str" cm="1">
        <f t="array" ref="G562">INDEX('Data Mahasiswa'!$Q$2:$Q$14, MATCH(MID('Data Status Pendaftar'!B562,5,3), 'Data Mahasiswa'!$N$2:$N$14&amp;TEXT('Data Mahasiswa'!$P$2:$P$14,"0"), 0))</f>
        <v>Teknik Industri</v>
      </c>
      <c r="H562" s="6">
        <f t="shared" ca="1" si="25"/>
        <v>2</v>
      </c>
      <c r="I562" s="7">
        <f>INDEX('Data Mahasiswa'!$A$1:$J$701, MATCH('Data Status Pendaftar'!B562, 'Data Mahasiswa'!$A$1:$A$701, 0), 10)</f>
        <v>2.4375</v>
      </c>
      <c r="J562" s="5" t="str" cm="1">
        <f t="array" ref="J562">INDEX('Data Mahasiswa'!B562:I562,MATCH(MIN(VLOOKUP('Data Mahasiswa'!B562:I562,'Data Mahasiswa'!$N$27:$O$36,2,0)),VLOOKUP('Data Mahasiswa'!B562:I562,'Data Mahasiswa'!$N$27:$O$36,2,0),0))</f>
        <v>D</v>
      </c>
      <c r="K562" s="5" t="str">
        <f t="shared" si="26"/>
        <v>Tidak Eligible</v>
      </c>
    </row>
    <row r="563" spans="1:11" x14ac:dyDescent="0.3">
      <c r="A563" s="8">
        <v>562</v>
      </c>
      <c r="B563" s="8" t="s">
        <v>612</v>
      </c>
      <c r="C563" s="8" t="s">
        <v>1300</v>
      </c>
      <c r="D563" s="8" t="s">
        <v>780</v>
      </c>
      <c r="E563" s="9">
        <f t="shared" si="24"/>
        <v>2025</v>
      </c>
      <c r="F563" s="8" t="str">
        <f>INDEX('Data Mahasiswa'!$N$1:$Q$14, MATCH(MID('Data Status Pendaftar'!B563, 5,2), 'Data Mahasiswa'!$N$1:$N$14,0),2)</f>
        <v>Teknik</v>
      </c>
      <c r="G563" s="8" t="str" cm="1">
        <f t="array" ref="G563">INDEX('Data Mahasiswa'!$Q$2:$Q$14, MATCH(MID('Data Status Pendaftar'!B563,5,3), 'Data Mahasiswa'!$N$2:$N$14&amp;TEXT('Data Mahasiswa'!$P$2:$P$14,"0"), 0))</f>
        <v>Teknik Industri</v>
      </c>
      <c r="H563" s="9">
        <f t="shared" ca="1" si="25"/>
        <v>2</v>
      </c>
      <c r="I563" s="10">
        <f>INDEX('Data Mahasiswa'!$A$1:$J$701, MATCH('Data Status Pendaftar'!B563, 'Data Mahasiswa'!$A$1:$A$701, 0), 10)</f>
        <v>3.1666666666666665</v>
      </c>
      <c r="J563" s="8" t="str" cm="1">
        <f t="array" ref="J563">INDEX('Data Mahasiswa'!B563:I563,MATCH(MIN(VLOOKUP('Data Mahasiswa'!B563:I563,'Data Mahasiswa'!$N$27:$O$36,2,0)),VLOOKUP('Data Mahasiswa'!B563:I563,'Data Mahasiswa'!$N$27:$O$36,2,0),0))</f>
        <v>D</v>
      </c>
      <c r="K563" s="8" t="str">
        <f t="shared" si="26"/>
        <v>Tidak Eligible</v>
      </c>
    </row>
    <row r="564" spans="1:11" x14ac:dyDescent="0.3">
      <c r="A564" s="5">
        <v>563</v>
      </c>
      <c r="B564" s="5" t="s">
        <v>613</v>
      </c>
      <c r="C564" s="5" t="s">
        <v>1301</v>
      </c>
      <c r="D564" s="5" t="s">
        <v>779</v>
      </c>
      <c r="E564" s="6">
        <f t="shared" si="24"/>
        <v>2025</v>
      </c>
      <c r="F564" s="5" t="str">
        <f>INDEX('Data Mahasiswa'!$N$1:$Q$14, MATCH(MID('Data Status Pendaftar'!B564, 5,2), 'Data Mahasiswa'!$N$1:$N$14,0),2)</f>
        <v>Teknik</v>
      </c>
      <c r="G564" s="5" t="str" cm="1">
        <f t="array" ref="G564">INDEX('Data Mahasiswa'!$Q$2:$Q$14, MATCH(MID('Data Status Pendaftar'!B564,5,3), 'Data Mahasiswa'!$N$2:$N$14&amp;TEXT('Data Mahasiswa'!$P$2:$P$14,"0"), 0))</f>
        <v>Teknik Industri</v>
      </c>
      <c r="H564" s="6">
        <f t="shared" ca="1" si="25"/>
        <v>2</v>
      </c>
      <c r="I564" s="7">
        <f>INDEX('Data Mahasiswa'!$A$1:$J$701, MATCH('Data Status Pendaftar'!B564, 'Data Mahasiswa'!$A$1:$A$701, 0), 10)</f>
        <v>3.0104166666666665</v>
      </c>
      <c r="J564" s="5" t="str" cm="1">
        <f t="array" ref="J564">INDEX('Data Mahasiswa'!B564:I564,MATCH(MIN(VLOOKUP('Data Mahasiswa'!B564:I564,'Data Mahasiswa'!$N$27:$O$36,2,0)),VLOOKUP('Data Mahasiswa'!B564:I564,'Data Mahasiswa'!$N$27:$O$36,2,0),0))</f>
        <v>E</v>
      </c>
      <c r="K564" s="5" t="str">
        <f t="shared" si="26"/>
        <v>Tidak Eligible</v>
      </c>
    </row>
    <row r="565" spans="1:11" x14ac:dyDescent="0.3">
      <c r="A565" s="8">
        <v>564</v>
      </c>
      <c r="B565" s="8" t="s">
        <v>614</v>
      </c>
      <c r="C565" s="8" t="s">
        <v>1302</v>
      </c>
      <c r="D565" s="8" t="s">
        <v>779</v>
      </c>
      <c r="E565" s="9">
        <f t="shared" si="24"/>
        <v>2025</v>
      </c>
      <c r="F565" s="8" t="str">
        <f>INDEX('Data Mahasiswa'!$N$1:$Q$14, MATCH(MID('Data Status Pendaftar'!B565, 5,2), 'Data Mahasiswa'!$N$1:$N$14,0),2)</f>
        <v>Teknik</v>
      </c>
      <c r="G565" s="8" t="str" cm="1">
        <f t="array" ref="G565">INDEX('Data Mahasiswa'!$Q$2:$Q$14, MATCH(MID('Data Status Pendaftar'!B565,5,3), 'Data Mahasiswa'!$N$2:$N$14&amp;TEXT('Data Mahasiswa'!$P$2:$P$14,"0"), 0))</f>
        <v>Teknik Industri</v>
      </c>
      <c r="H565" s="9">
        <f t="shared" ca="1" si="25"/>
        <v>2</v>
      </c>
      <c r="I565" s="10">
        <f>INDEX('Data Mahasiswa'!$A$1:$J$701, MATCH('Data Status Pendaftar'!B565, 'Data Mahasiswa'!$A$1:$A$701, 0), 10)</f>
        <v>3.1458333333333335</v>
      </c>
      <c r="J565" s="8" t="str" cm="1">
        <f t="array" ref="J565">INDEX('Data Mahasiswa'!B565:I565,MATCH(MIN(VLOOKUP('Data Mahasiswa'!B565:I565,'Data Mahasiswa'!$N$27:$O$36,2,0)),VLOOKUP('Data Mahasiswa'!B565:I565,'Data Mahasiswa'!$N$27:$O$36,2,0),0))</f>
        <v>C</v>
      </c>
      <c r="K565" s="8" t="str">
        <f t="shared" si="26"/>
        <v>Eligible</v>
      </c>
    </row>
    <row r="566" spans="1:11" x14ac:dyDescent="0.3">
      <c r="A566" s="5">
        <v>565</v>
      </c>
      <c r="B566" s="5" t="s">
        <v>615</v>
      </c>
      <c r="C566" s="5" t="s">
        <v>1303</v>
      </c>
      <c r="D566" s="5" t="s">
        <v>779</v>
      </c>
      <c r="E566" s="6">
        <f t="shared" si="24"/>
        <v>2025</v>
      </c>
      <c r="F566" s="5" t="str">
        <f>INDEX('Data Mahasiswa'!$N$1:$Q$14, MATCH(MID('Data Status Pendaftar'!B566, 5,2), 'Data Mahasiswa'!$N$1:$N$14,0),2)</f>
        <v>Teknik</v>
      </c>
      <c r="G566" s="5" t="str" cm="1">
        <f t="array" ref="G566">INDEX('Data Mahasiswa'!$Q$2:$Q$14, MATCH(MID('Data Status Pendaftar'!B566,5,3), 'Data Mahasiswa'!$N$2:$N$14&amp;TEXT('Data Mahasiswa'!$P$2:$P$14,"0"), 0))</f>
        <v>Teknik Industri</v>
      </c>
      <c r="H566" s="6">
        <f t="shared" ca="1" si="25"/>
        <v>2</v>
      </c>
      <c r="I566" s="7">
        <f>INDEX('Data Mahasiswa'!$A$1:$J$701, MATCH('Data Status Pendaftar'!B566, 'Data Mahasiswa'!$A$1:$A$701, 0), 10)</f>
        <v>2.8229166666666665</v>
      </c>
      <c r="J566" s="5" t="str" cm="1">
        <f t="array" ref="J566">INDEX('Data Mahasiswa'!B566:I566,MATCH(MIN(VLOOKUP('Data Mahasiswa'!B566:I566,'Data Mahasiswa'!$N$27:$O$36,2,0)),VLOOKUP('Data Mahasiswa'!B566:I566,'Data Mahasiswa'!$N$27:$O$36,2,0),0))</f>
        <v>D</v>
      </c>
      <c r="K566" s="5" t="str">
        <f t="shared" si="26"/>
        <v>Tidak Eligible</v>
      </c>
    </row>
    <row r="567" spans="1:11" x14ac:dyDescent="0.3">
      <c r="A567" s="8">
        <v>566</v>
      </c>
      <c r="B567" s="8" t="s">
        <v>616</v>
      </c>
      <c r="C567" s="8" t="s">
        <v>1197</v>
      </c>
      <c r="D567" s="8" t="s">
        <v>780</v>
      </c>
      <c r="E567" s="9">
        <f t="shared" si="24"/>
        <v>2025</v>
      </c>
      <c r="F567" s="8" t="str">
        <f>INDEX('Data Mahasiswa'!$N$1:$Q$14, MATCH(MID('Data Status Pendaftar'!B567, 5,2), 'Data Mahasiswa'!$N$1:$N$14,0),2)</f>
        <v>Teknik</v>
      </c>
      <c r="G567" s="8" t="str" cm="1">
        <f t="array" ref="G567">INDEX('Data Mahasiswa'!$Q$2:$Q$14, MATCH(MID('Data Status Pendaftar'!B567,5,3), 'Data Mahasiswa'!$N$2:$N$14&amp;TEXT('Data Mahasiswa'!$P$2:$P$14,"0"), 0))</f>
        <v>Teknik Industri</v>
      </c>
      <c r="H567" s="9">
        <f t="shared" ca="1" si="25"/>
        <v>2</v>
      </c>
      <c r="I567" s="10">
        <f>INDEX('Data Mahasiswa'!$A$1:$J$701, MATCH('Data Status Pendaftar'!B567, 'Data Mahasiswa'!$A$1:$A$701, 0), 10)</f>
        <v>3.3333333333333335</v>
      </c>
      <c r="J567" s="8" t="str" cm="1">
        <f t="array" ref="J567">INDEX('Data Mahasiswa'!B567:I567,MATCH(MIN(VLOOKUP('Data Mahasiswa'!B567:I567,'Data Mahasiswa'!$N$27:$O$36,2,0)),VLOOKUP('Data Mahasiswa'!B567:I567,'Data Mahasiswa'!$N$27:$O$36,2,0),0))</f>
        <v>C</v>
      </c>
      <c r="K567" s="8" t="str">
        <f t="shared" si="26"/>
        <v>Eligible</v>
      </c>
    </row>
    <row r="568" spans="1:11" x14ac:dyDescent="0.3">
      <c r="A568" s="5">
        <v>567</v>
      </c>
      <c r="B568" s="5" t="s">
        <v>617</v>
      </c>
      <c r="C568" s="5" t="s">
        <v>1304</v>
      </c>
      <c r="D568" s="5" t="s">
        <v>780</v>
      </c>
      <c r="E568" s="6">
        <f t="shared" si="24"/>
        <v>2025</v>
      </c>
      <c r="F568" s="5" t="str">
        <f>INDEX('Data Mahasiswa'!$N$1:$Q$14, MATCH(MID('Data Status Pendaftar'!B568, 5,2), 'Data Mahasiswa'!$N$1:$N$14,0),2)</f>
        <v>Teknik</v>
      </c>
      <c r="G568" s="5" t="str" cm="1">
        <f t="array" ref="G568">INDEX('Data Mahasiswa'!$Q$2:$Q$14, MATCH(MID('Data Status Pendaftar'!B568,5,3), 'Data Mahasiswa'!$N$2:$N$14&amp;TEXT('Data Mahasiswa'!$P$2:$P$14,"0"), 0))</f>
        <v>Teknik Industri</v>
      </c>
      <c r="H568" s="6">
        <f t="shared" ca="1" si="25"/>
        <v>2</v>
      </c>
      <c r="I568" s="7">
        <f>INDEX('Data Mahasiswa'!$A$1:$J$701, MATCH('Data Status Pendaftar'!B568, 'Data Mahasiswa'!$A$1:$A$701, 0), 10)</f>
        <v>2.28125</v>
      </c>
      <c r="J568" s="5" t="str" cm="1">
        <f t="array" ref="J568">INDEX('Data Mahasiswa'!B568:I568,MATCH(MIN(VLOOKUP('Data Mahasiswa'!B568:I568,'Data Mahasiswa'!$N$27:$O$36,2,0)),VLOOKUP('Data Mahasiswa'!B568:I568,'Data Mahasiswa'!$N$27:$O$36,2,0),0))</f>
        <v>E</v>
      </c>
      <c r="K568" s="5" t="str">
        <f t="shared" si="26"/>
        <v>Tidak Eligible</v>
      </c>
    </row>
    <row r="569" spans="1:11" x14ac:dyDescent="0.3">
      <c r="A569" s="8">
        <v>568</v>
      </c>
      <c r="B569" s="8" t="s">
        <v>618</v>
      </c>
      <c r="C569" s="8" t="s">
        <v>1305</v>
      </c>
      <c r="D569" s="8" t="s">
        <v>780</v>
      </c>
      <c r="E569" s="9">
        <f t="shared" si="24"/>
        <v>2025</v>
      </c>
      <c r="F569" s="8" t="str">
        <f>INDEX('Data Mahasiswa'!$N$1:$Q$14, MATCH(MID('Data Status Pendaftar'!B569, 5,2), 'Data Mahasiswa'!$N$1:$N$14,0),2)</f>
        <v>Teknik</v>
      </c>
      <c r="G569" s="8" t="str" cm="1">
        <f t="array" ref="G569">INDEX('Data Mahasiswa'!$Q$2:$Q$14, MATCH(MID('Data Status Pendaftar'!B569,5,3), 'Data Mahasiswa'!$N$2:$N$14&amp;TEXT('Data Mahasiswa'!$P$2:$P$14,"0"), 0))</f>
        <v>Teknik Industri</v>
      </c>
      <c r="H569" s="9">
        <f t="shared" ca="1" si="25"/>
        <v>2</v>
      </c>
      <c r="I569" s="10">
        <f>INDEX('Data Mahasiswa'!$A$1:$J$701, MATCH('Data Status Pendaftar'!B569, 'Data Mahasiswa'!$A$1:$A$701, 0), 10)</f>
        <v>3.2083333333333335</v>
      </c>
      <c r="J569" s="8" t="str" cm="1">
        <f t="array" ref="J569">INDEX('Data Mahasiswa'!B569:I569,MATCH(MIN(VLOOKUP('Data Mahasiswa'!B569:I569,'Data Mahasiswa'!$N$27:$O$36,2,0)),VLOOKUP('Data Mahasiswa'!B569:I569,'Data Mahasiswa'!$N$27:$O$36,2,0),0))</f>
        <v>C+</v>
      </c>
      <c r="K569" s="8" t="str">
        <f t="shared" si="26"/>
        <v>Eligible</v>
      </c>
    </row>
    <row r="570" spans="1:11" x14ac:dyDescent="0.3">
      <c r="A570" s="5">
        <v>569</v>
      </c>
      <c r="B570" s="5" t="s">
        <v>619</v>
      </c>
      <c r="C570" s="5" t="s">
        <v>883</v>
      </c>
      <c r="D570" s="5" t="s">
        <v>780</v>
      </c>
      <c r="E570" s="6">
        <f t="shared" si="24"/>
        <v>2025</v>
      </c>
      <c r="F570" s="5" t="str">
        <f>INDEX('Data Mahasiswa'!$N$1:$Q$14, MATCH(MID('Data Status Pendaftar'!B570, 5,2), 'Data Mahasiswa'!$N$1:$N$14,0),2)</f>
        <v>Teknik</v>
      </c>
      <c r="G570" s="5" t="str" cm="1">
        <f t="array" ref="G570">INDEX('Data Mahasiswa'!$Q$2:$Q$14, MATCH(MID('Data Status Pendaftar'!B570,5,3), 'Data Mahasiswa'!$N$2:$N$14&amp;TEXT('Data Mahasiswa'!$P$2:$P$14,"0"), 0))</f>
        <v>Teknik Industri</v>
      </c>
      <c r="H570" s="6">
        <f t="shared" ca="1" si="25"/>
        <v>2</v>
      </c>
      <c r="I570" s="7">
        <f>INDEX('Data Mahasiswa'!$A$1:$J$701, MATCH('Data Status Pendaftar'!B570, 'Data Mahasiswa'!$A$1:$A$701, 0), 10)</f>
        <v>2.6041666666666665</v>
      </c>
      <c r="J570" s="5" t="str" cm="1">
        <f t="array" ref="J570">INDEX('Data Mahasiswa'!B570:I570,MATCH(MIN(VLOOKUP('Data Mahasiswa'!B570:I570,'Data Mahasiswa'!$N$27:$O$36,2,0)),VLOOKUP('Data Mahasiswa'!B570:I570,'Data Mahasiswa'!$N$27:$O$36,2,0),0))</f>
        <v>D</v>
      </c>
      <c r="K570" s="5" t="str">
        <f t="shared" si="26"/>
        <v>Tidak Eligible</v>
      </c>
    </row>
    <row r="571" spans="1:11" x14ac:dyDescent="0.3">
      <c r="A571" s="8">
        <v>570</v>
      </c>
      <c r="B571" s="8" t="s">
        <v>620</v>
      </c>
      <c r="C571" s="8" t="s">
        <v>861</v>
      </c>
      <c r="D571" s="8" t="s">
        <v>779</v>
      </c>
      <c r="E571" s="9">
        <f t="shared" si="24"/>
        <v>2025</v>
      </c>
      <c r="F571" s="8" t="str">
        <f>INDEX('Data Mahasiswa'!$N$1:$Q$14, MATCH(MID('Data Status Pendaftar'!B571, 5,2), 'Data Mahasiswa'!$N$1:$N$14,0),2)</f>
        <v>Teknik</v>
      </c>
      <c r="G571" s="8" t="str" cm="1">
        <f t="array" ref="G571">INDEX('Data Mahasiswa'!$Q$2:$Q$14, MATCH(MID('Data Status Pendaftar'!B571,5,3), 'Data Mahasiswa'!$N$2:$N$14&amp;TEXT('Data Mahasiswa'!$P$2:$P$14,"0"), 0))</f>
        <v>Teknik Industri</v>
      </c>
      <c r="H571" s="9">
        <f t="shared" ca="1" si="25"/>
        <v>2</v>
      </c>
      <c r="I571" s="10">
        <f>INDEX('Data Mahasiswa'!$A$1:$J$701, MATCH('Data Status Pendaftar'!B571, 'Data Mahasiswa'!$A$1:$A$701, 0), 10)</f>
        <v>2.8541666666666665</v>
      </c>
      <c r="J571" s="8" t="str" cm="1">
        <f t="array" ref="J571">INDEX('Data Mahasiswa'!B571:I571,MATCH(MIN(VLOOKUP('Data Mahasiswa'!B571:I571,'Data Mahasiswa'!$N$27:$O$36,2,0)),VLOOKUP('Data Mahasiswa'!B571:I571,'Data Mahasiswa'!$N$27:$O$36,2,0),0))</f>
        <v>C</v>
      </c>
      <c r="K571" s="8" t="str">
        <f t="shared" si="26"/>
        <v>Eligible</v>
      </c>
    </row>
    <row r="572" spans="1:11" x14ac:dyDescent="0.3">
      <c r="A572" s="5">
        <v>571</v>
      </c>
      <c r="B572" s="5" t="s">
        <v>621</v>
      </c>
      <c r="C572" s="5" t="s">
        <v>1306</v>
      </c>
      <c r="D572" s="5" t="s">
        <v>779</v>
      </c>
      <c r="E572" s="6">
        <f t="shared" si="24"/>
        <v>2025</v>
      </c>
      <c r="F572" s="5" t="str">
        <f>INDEX('Data Mahasiswa'!$N$1:$Q$14, MATCH(MID('Data Status Pendaftar'!B572, 5,2), 'Data Mahasiswa'!$N$1:$N$14,0),2)</f>
        <v>Teknik</v>
      </c>
      <c r="G572" s="5" t="str" cm="1">
        <f t="array" ref="G572">INDEX('Data Mahasiswa'!$Q$2:$Q$14, MATCH(MID('Data Status Pendaftar'!B572,5,3), 'Data Mahasiswa'!$N$2:$N$14&amp;TEXT('Data Mahasiswa'!$P$2:$P$14,"0"), 0))</f>
        <v>Teknik Industri</v>
      </c>
      <c r="H572" s="6">
        <f t="shared" ca="1" si="25"/>
        <v>2</v>
      </c>
      <c r="I572" s="7">
        <f>INDEX('Data Mahasiswa'!$A$1:$J$701, MATCH('Data Status Pendaftar'!B572, 'Data Mahasiswa'!$A$1:$A$701, 0), 10)</f>
        <v>3.25</v>
      </c>
      <c r="J572" s="5" t="str" cm="1">
        <f t="array" ref="J572">INDEX('Data Mahasiswa'!B572:I572,MATCH(MIN(VLOOKUP('Data Mahasiswa'!B572:I572,'Data Mahasiswa'!$N$27:$O$36,2,0)),VLOOKUP('Data Mahasiswa'!B572:I572,'Data Mahasiswa'!$N$27:$O$36,2,0),0))</f>
        <v>C</v>
      </c>
      <c r="K572" s="5" t="str">
        <f t="shared" si="26"/>
        <v>Eligible</v>
      </c>
    </row>
    <row r="573" spans="1:11" x14ac:dyDescent="0.3">
      <c r="A573" s="8">
        <v>572</v>
      </c>
      <c r="B573" s="8" t="s">
        <v>622</v>
      </c>
      <c r="C573" s="8" t="s">
        <v>1307</v>
      </c>
      <c r="D573" s="8" t="s">
        <v>779</v>
      </c>
      <c r="E573" s="9">
        <f t="shared" si="24"/>
        <v>2025</v>
      </c>
      <c r="F573" s="8" t="str">
        <f>INDEX('Data Mahasiswa'!$N$1:$Q$14, MATCH(MID('Data Status Pendaftar'!B573, 5,2), 'Data Mahasiswa'!$N$1:$N$14,0),2)</f>
        <v>Teknik</v>
      </c>
      <c r="G573" s="8" t="str" cm="1">
        <f t="array" ref="G573">INDEX('Data Mahasiswa'!$Q$2:$Q$14, MATCH(MID('Data Status Pendaftar'!B573,5,3), 'Data Mahasiswa'!$N$2:$N$14&amp;TEXT('Data Mahasiswa'!$P$2:$P$14,"0"), 0))</f>
        <v>Teknik Industri</v>
      </c>
      <c r="H573" s="9">
        <f t="shared" ca="1" si="25"/>
        <v>2</v>
      </c>
      <c r="I573" s="10">
        <f>INDEX('Data Mahasiswa'!$A$1:$J$701, MATCH('Data Status Pendaftar'!B573, 'Data Mahasiswa'!$A$1:$A$701, 0), 10)</f>
        <v>3.375</v>
      </c>
      <c r="J573" s="8" t="str" cm="1">
        <f t="array" ref="J573">INDEX('Data Mahasiswa'!B573:I573,MATCH(MIN(VLOOKUP('Data Mahasiswa'!B573:I573,'Data Mahasiswa'!$N$27:$O$36,2,0)),VLOOKUP('Data Mahasiswa'!B573:I573,'Data Mahasiswa'!$N$27:$O$36,2,0),0))</f>
        <v>C+</v>
      </c>
      <c r="K573" s="8" t="str">
        <f t="shared" si="26"/>
        <v>Eligible</v>
      </c>
    </row>
    <row r="574" spans="1:11" x14ac:dyDescent="0.3">
      <c r="A574" s="5">
        <v>573</v>
      </c>
      <c r="B574" s="5" t="s">
        <v>623</v>
      </c>
      <c r="C574" s="5" t="s">
        <v>1308</v>
      </c>
      <c r="D574" s="5" t="s">
        <v>779</v>
      </c>
      <c r="E574" s="6">
        <f t="shared" si="24"/>
        <v>2025</v>
      </c>
      <c r="F574" s="5" t="str">
        <f>INDEX('Data Mahasiswa'!$N$1:$Q$14, MATCH(MID('Data Status Pendaftar'!B574, 5,2), 'Data Mahasiswa'!$N$1:$N$14,0),2)</f>
        <v>Ekonomi</v>
      </c>
      <c r="G574" s="5" t="str" cm="1">
        <f t="array" ref="G574">INDEX('Data Mahasiswa'!$Q$2:$Q$14, MATCH(MID('Data Status Pendaftar'!B574,5,3), 'Data Mahasiswa'!$N$2:$N$14&amp;TEXT('Data Mahasiswa'!$P$2:$P$14,"0"), 0))</f>
        <v>Manajemen</v>
      </c>
      <c r="H574" s="6">
        <f t="shared" ca="1" si="25"/>
        <v>2</v>
      </c>
      <c r="I574" s="7">
        <f>INDEX('Data Mahasiswa'!$A$1:$J$701, MATCH('Data Status Pendaftar'!B574, 'Data Mahasiswa'!$A$1:$A$701, 0), 10)</f>
        <v>2.34375</v>
      </c>
      <c r="J574" s="5" t="str" cm="1">
        <f t="array" ref="J574">INDEX('Data Mahasiswa'!B574:I574,MATCH(MIN(VLOOKUP('Data Mahasiswa'!B574:I574,'Data Mahasiswa'!$N$27:$O$36,2,0)),VLOOKUP('Data Mahasiswa'!B574:I574,'Data Mahasiswa'!$N$27:$O$36,2,0),0))</f>
        <v>D</v>
      </c>
      <c r="K574" s="5" t="str">
        <f t="shared" si="26"/>
        <v>Tidak Eligible</v>
      </c>
    </row>
    <row r="575" spans="1:11" x14ac:dyDescent="0.3">
      <c r="A575" s="8">
        <v>574</v>
      </c>
      <c r="B575" s="8" t="s">
        <v>624</v>
      </c>
      <c r="C575" s="8" t="s">
        <v>1309</v>
      </c>
      <c r="D575" s="8" t="s">
        <v>780</v>
      </c>
      <c r="E575" s="9">
        <f t="shared" si="24"/>
        <v>2025</v>
      </c>
      <c r="F575" s="8" t="str">
        <f>INDEX('Data Mahasiswa'!$N$1:$Q$14, MATCH(MID('Data Status Pendaftar'!B575, 5,2), 'Data Mahasiswa'!$N$1:$N$14,0),2)</f>
        <v>Ekonomi</v>
      </c>
      <c r="G575" s="8" t="str" cm="1">
        <f t="array" ref="G575">INDEX('Data Mahasiswa'!$Q$2:$Q$14, MATCH(MID('Data Status Pendaftar'!B575,5,3), 'Data Mahasiswa'!$N$2:$N$14&amp;TEXT('Data Mahasiswa'!$P$2:$P$14,"0"), 0))</f>
        <v>Manajemen</v>
      </c>
      <c r="H575" s="9">
        <f t="shared" ca="1" si="25"/>
        <v>2</v>
      </c>
      <c r="I575" s="10">
        <f>INDEX('Data Mahasiswa'!$A$1:$J$701, MATCH('Data Status Pendaftar'!B575, 'Data Mahasiswa'!$A$1:$A$701, 0), 10)</f>
        <v>3</v>
      </c>
      <c r="J575" s="8" t="str" cm="1">
        <f t="array" ref="J575">INDEX('Data Mahasiswa'!B575:I575,MATCH(MIN(VLOOKUP('Data Mahasiswa'!B575:I575,'Data Mahasiswa'!$N$27:$O$36,2,0)),VLOOKUP('Data Mahasiswa'!B575:I575,'Data Mahasiswa'!$N$27:$O$36,2,0),0))</f>
        <v>C</v>
      </c>
      <c r="K575" s="8" t="str">
        <f t="shared" si="26"/>
        <v>Eligible</v>
      </c>
    </row>
    <row r="576" spans="1:11" x14ac:dyDescent="0.3">
      <c r="A576" s="5">
        <v>575</v>
      </c>
      <c r="B576" s="5" t="s">
        <v>625</v>
      </c>
      <c r="C576" s="5" t="s">
        <v>1072</v>
      </c>
      <c r="D576" s="5" t="s">
        <v>779</v>
      </c>
      <c r="E576" s="6">
        <f t="shared" si="24"/>
        <v>2025</v>
      </c>
      <c r="F576" s="5" t="str">
        <f>INDEX('Data Mahasiswa'!$N$1:$Q$14, MATCH(MID('Data Status Pendaftar'!B576, 5,2), 'Data Mahasiswa'!$N$1:$N$14,0),2)</f>
        <v>Ekonomi</v>
      </c>
      <c r="G576" s="5" t="str" cm="1">
        <f t="array" ref="G576">INDEX('Data Mahasiswa'!$Q$2:$Q$14, MATCH(MID('Data Status Pendaftar'!B576,5,3), 'Data Mahasiswa'!$N$2:$N$14&amp;TEXT('Data Mahasiswa'!$P$2:$P$14,"0"), 0))</f>
        <v>Manajemen</v>
      </c>
      <c r="H576" s="6">
        <f t="shared" ca="1" si="25"/>
        <v>2</v>
      </c>
      <c r="I576" s="7">
        <f>INDEX('Data Mahasiswa'!$A$1:$J$701, MATCH('Data Status Pendaftar'!B576, 'Data Mahasiswa'!$A$1:$A$701, 0), 10)</f>
        <v>2.78125</v>
      </c>
      <c r="J576" s="5" t="str" cm="1">
        <f t="array" ref="J576">INDEX('Data Mahasiswa'!B576:I576,MATCH(MIN(VLOOKUP('Data Mahasiswa'!B576:I576,'Data Mahasiswa'!$N$27:$O$36,2,0)),VLOOKUP('Data Mahasiswa'!B576:I576,'Data Mahasiswa'!$N$27:$O$36,2,0),0))</f>
        <v>D</v>
      </c>
      <c r="K576" s="5" t="str">
        <f t="shared" si="26"/>
        <v>Tidak Eligible</v>
      </c>
    </row>
    <row r="577" spans="1:11" x14ac:dyDescent="0.3">
      <c r="A577" s="8">
        <v>576</v>
      </c>
      <c r="B577" s="8" t="s">
        <v>626</v>
      </c>
      <c r="C577" s="8" t="s">
        <v>1310</v>
      </c>
      <c r="D577" s="8" t="s">
        <v>780</v>
      </c>
      <c r="E577" s="9">
        <f t="shared" si="24"/>
        <v>2025</v>
      </c>
      <c r="F577" s="8" t="str">
        <f>INDEX('Data Mahasiswa'!$N$1:$Q$14, MATCH(MID('Data Status Pendaftar'!B577, 5,2), 'Data Mahasiswa'!$N$1:$N$14,0),2)</f>
        <v>Ekonomi</v>
      </c>
      <c r="G577" s="8" t="str" cm="1">
        <f t="array" ref="G577">INDEX('Data Mahasiswa'!$Q$2:$Q$14, MATCH(MID('Data Status Pendaftar'!B577,5,3), 'Data Mahasiswa'!$N$2:$N$14&amp;TEXT('Data Mahasiswa'!$P$2:$P$14,"0"), 0))</f>
        <v>Manajemen</v>
      </c>
      <c r="H577" s="9">
        <f t="shared" ca="1" si="25"/>
        <v>2</v>
      </c>
      <c r="I577" s="10">
        <f>INDEX('Data Mahasiswa'!$A$1:$J$701, MATCH('Data Status Pendaftar'!B577, 'Data Mahasiswa'!$A$1:$A$701, 0), 10)</f>
        <v>3.3333333333333335</v>
      </c>
      <c r="J577" s="8" t="str" cm="1">
        <f t="array" ref="J577">INDEX('Data Mahasiswa'!B577:I577,MATCH(MIN(VLOOKUP('Data Mahasiswa'!B577:I577,'Data Mahasiswa'!$N$27:$O$36,2,0)),VLOOKUP('Data Mahasiswa'!B577:I577,'Data Mahasiswa'!$N$27:$O$36,2,0),0))</f>
        <v>C</v>
      </c>
      <c r="K577" s="8" t="str">
        <f t="shared" si="26"/>
        <v>Eligible</v>
      </c>
    </row>
    <row r="578" spans="1:11" x14ac:dyDescent="0.3">
      <c r="A578" s="5">
        <v>577</v>
      </c>
      <c r="B578" s="5" t="s">
        <v>627</v>
      </c>
      <c r="C578" s="5" t="s">
        <v>1311</v>
      </c>
      <c r="D578" s="5" t="s">
        <v>780</v>
      </c>
      <c r="E578" s="6">
        <f t="shared" si="24"/>
        <v>2025</v>
      </c>
      <c r="F578" s="5" t="str">
        <f>INDEX('Data Mahasiswa'!$N$1:$Q$14, MATCH(MID('Data Status Pendaftar'!B578, 5,2), 'Data Mahasiswa'!$N$1:$N$14,0),2)</f>
        <v>Ekonomi</v>
      </c>
      <c r="G578" s="5" t="str" cm="1">
        <f t="array" ref="G578">INDEX('Data Mahasiswa'!$Q$2:$Q$14, MATCH(MID('Data Status Pendaftar'!B578,5,3), 'Data Mahasiswa'!$N$2:$N$14&amp;TEXT('Data Mahasiswa'!$P$2:$P$14,"0"), 0))</f>
        <v>Manajemen</v>
      </c>
      <c r="H578" s="6">
        <f t="shared" ca="1" si="25"/>
        <v>2</v>
      </c>
      <c r="I578" s="7">
        <f>INDEX('Data Mahasiswa'!$A$1:$J$701, MATCH('Data Status Pendaftar'!B578, 'Data Mahasiswa'!$A$1:$A$701, 0), 10)</f>
        <v>3.0416666666666665</v>
      </c>
      <c r="J578" s="5" t="str" cm="1">
        <f t="array" ref="J578">INDEX('Data Mahasiswa'!B578:I578,MATCH(MIN(VLOOKUP('Data Mahasiswa'!B578:I578,'Data Mahasiswa'!$N$27:$O$36,2,0)),VLOOKUP('Data Mahasiswa'!B578:I578,'Data Mahasiswa'!$N$27:$O$36,2,0),0))</f>
        <v>C+</v>
      </c>
      <c r="K578" s="5" t="str">
        <f t="shared" si="26"/>
        <v>Eligible</v>
      </c>
    </row>
    <row r="579" spans="1:11" x14ac:dyDescent="0.3">
      <c r="A579" s="8">
        <v>578</v>
      </c>
      <c r="B579" s="8" t="s">
        <v>628</v>
      </c>
      <c r="C579" s="8" t="s">
        <v>1312</v>
      </c>
      <c r="D579" s="8" t="s">
        <v>779</v>
      </c>
      <c r="E579" s="9">
        <f t="shared" ref="E579:E642" si="27">LEFT(B579,2)+2000</f>
        <v>2025</v>
      </c>
      <c r="F579" s="8" t="str">
        <f>INDEX('Data Mahasiswa'!$N$1:$Q$14, MATCH(MID('Data Status Pendaftar'!B579, 5,2), 'Data Mahasiswa'!$N$1:$N$14,0),2)</f>
        <v>Ekonomi</v>
      </c>
      <c r="G579" s="8" t="str" cm="1">
        <f t="array" ref="G579">INDEX('Data Mahasiswa'!$Q$2:$Q$14, MATCH(MID('Data Status Pendaftar'!B579,5,3), 'Data Mahasiswa'!$N$2:$N$14&amp;TEXT('Data Mahasiswa'!$P$2:$P$14,"0"), 0))</f>
        <v>Manajemen</v>
      </c>
      <c r="H579" s="9">
        <f t="shared" ref="H579:H642" ca="1" si="28">(YEAR(TODAY())-E579)*2</f>
        <v>2</v>
      </c>
      <c r="I579" s="10">
        <f>INDEX('Data Mahasiswa'!$A$1:$J$701, MATCH('Data Status Pendaftar'!B579, 'Data Mahasiswa'!$A$1:$A$701, 0), 10)</f>
        <v>2.5104166666666665</v>
      </c>
      <c r="J579" s="8" t="str" cm="1">
        <f t="array" ref="J579">INDEX('Data Mahasiswa'!B579:I579,MATCH(MIN(VLOOKUP('Data Mahasiswa'!B579:I579,'Data Mahasiswa'!$N$27:$O$36,2,0)),VLOOKUP('Data Mahasiswa'!B579:I579,'Data Mahasiswa'!$N$27:$O$36,2,0),0))</f>
        <v>E</v>
      </c>
      <c r="K579" s="8" t="str">
        <f t="shared" ref="K579:K642" si="29">IF(AND(E579=2025,I579&gt;=2.75,OR(J579="A",J579="A-",J579="B+",J579="B",J579="B-",J579="C+",J579="C",J579="C-")),"Eligible","Tidak Eligible")</f>
        <v>Tidak Eligible</v>
      </c>
    </row>
    <row r="580" spans="1:11" x14ac:dyDescent="0.3">
      <c r="A580" s="5">
        <v>579</v>
      </c>
      <c r="B580" s="5" t="s">
        <v>629</v>
      </c>
      <c r="C580" s="5" t="s">
        <v>1313</v>
      </c>
      <c r="D580" s="5" t="s">
        <v>779</v>
      </c>
      <c r="E580" s="6">
        <f t="shared" si="27"/>
        <v>2025</v>
      </c>
      <c r="F580" s="5" t="str">
        <f>INDEX('Data Mahasiswa'!$N$1:$Q$14, MATCH(MID('Data Status Pendaftar'!B580, 5,2), 'Data Mahasiswa'!$N$1:$N$14,0),2)</f>
        <v>Ekonomi</v>
      </c>
      <c r="G580" s="5" t="str" cm="1">
        <f t="array" ref="G580">INDEX('Data Mahasiswa'!$Q$2:$Q$14, MATCH(MID('Data Status Pendaftar'!B580,5,3), 'Data Mahasiswa'!$N$2:$N$14&amp;TEXT('Data Mahasiswa'!$P$2:$P$14,"0"), 0))</f>
        <v>Manajemen</v>
      </c>
      <c r="H580" s="6">
        <f t="shared" ca="1" si="28"/>
        <v>2</v>
      </c>
      <c r="I580" s="7">
        <f>INDEX('Data Mahasiswa'!$A$1:$J$701, MATCH('Data Status Pendaftar'!B580, 'Data Mahasiswa'!$A$1:$A$701, 0), 10)</f>
        <v>2.875</v>
      </c>
      <c r="J580" s="5" t="str" cm="1">
        <f t="array" ref="J580">INDEX('Data Mahasiswa'!B580:I580,MATCH(MIN(VLOOKUP('Data Mahasiswa'!B580:I580,'Data Mahasiswa'!$N$27:$O$36,2,0)),VLOOKUP('Data Mahasiswa'!B580:I580,'Data Mahasiswa'!$N$27:$O$36,2,0),0))</f>
        <v>D</v>
      </c>
      <c r="K580" s="5" t="str">
        <f t="shared" si="29"/>
        <v>Tidak Eligible</v>
      </c>
    </row>
    <row r="581" spans="1:11" x14ac:dyDescent="0.3">
      <c r="A581" s="8">
        <v>580</v>
      </c>
      <c r="B581" s="8" t="s">
        <v>630</v>
      </c>
      <c r="C581" s="8" t="s">
        <v>1314</v>
      </c>
      <c r="D581" s="8" t="s">
        <v>780</v>
      </c>
      <c r="E581" s="9">
        <f t="shared" si="27"/>
        <v>2025</v>
      </c>
      <c r="F581" s="8" t="str">
        <f>INDEX('Data Mahasiswa'!$N$1:$Q$14, MATCH(MID('Data Status Pendaftar'!B581, 5,2), 'Data Mahasiswa'!$N$1:$N$14,0),2)</f>
        <v>Ekonomi</v>
      </c>
      <c r="G581" s="8" t="str" cm="1">
        <f t="array" ref="G581">INDEX('Data Mahasiswa'!$Q$2:$Q$14, MATCH(MID('Data Status Pendaftar'!B581,5,3), 'Data Mahasiswa'!$N$2:$N$14&amp;TEXT('Data Mahasiswa'!$P$2:$P$14,"0"), 0))</f>
        <v>Manajemen</v>
      </c>
      <c r="H581" s="9">
        <f t="shared" ca="1" si="28"/>
        <v>2</v>
      </c>
      <c r="I581" s="10">
        <f>INDEX('Data Mahasiswa'!$A$1:$J$701, MATCH('Data Status Pendaftar'!B581, 'Data Mahasiswa'!$A$1:$A$701, 0), 10)</f>
        <v>2.2395833333333335</v>
      </c>
      <c r="J581" s="8" t="str" cm="1">
        <f t="array" ref="J581">INDEX('Data Mahasiswa'!B581:I581,MATCH(MIN(VLOOKUP('Data Mahasiswa'!B581:I581,'Data Mahasiswa'!$N$27:$O$36,2,0)),VLOOKUP('Data Mahasiswa'!B581:I581,'Data Mahasiswa'!$N$27:$O$36,2,0),0))</f>
        <v>E</v>
      </c>
      <c r="K581" s="8" t="str">
        <f t="shared" si="29"/>
        <v>Tidak Eligible</v>
      </c>
    </row>
    <row r="582" spans="1:11" x14ac:dyDescent="0.3">
      <c r="A582" s="5">
        <v>581</v>
      </c>
      <c r="B582" s="5" t="s">
        <v>631</v>
      </c>
      <c r="C582" s="5" t="s">
        <v>1315</v>
      </c>
      <c r="D582" s="5" t="s">
        <v>780</v>
      </c>
      <c r="E582" s="6">
        <f t="shared" si="27"/>
        <v>2025</v>
      </c>
      <c r="F582" s="5" t="str">
        <f>INDEX('Data Mahasiswa'!$N$1:$Q$14, MATCH(MID('Data Status Pendaftar'!B582, 5,2), 'Data Mahasiswa'!$N$1:$N$14,0),2)</f>
        <v>Ekonomi</v>
      </c>
      <c r="G582" s="5" t="str" cm="1">
        <f t="array" ref="G582">INDEX('Data Mahasiswa'!$Q$2:$Q$14, MATCH(MID('Data Status Pendaftar'!B582,5,3), 'Data Mahasiswa'!$N$2:$N$14&amp;TEXT('Data Mahasiswa'!$P$2:$P$14,"0"), 0))</f>
        <v>Manajemen</v>
      </c>
      <c r="H582" s="6">
        <f t="shared" ca="1" si="28"/>
        <v>2</v>
      </c>
      <c r="I582" s="7">
        <f>INDEX('Data Mahasiswa'!$A$1:$J$701, MATCH('Data Status Pendaftar'!B582, 'Data Mahasiswa'!$A$1:$A$701, 0), 10)</f>
        <v>2.5625</v>
      </c>
      <c r="J582" s="5" t="str" cm="1">
        <f t="array" ref="J582">INDEX('Data Mahasiswa'!B582:I582,MATCH(MIN(VLOOKUP('Data Mahasiswa'!B582:I582,'Data Mahasiswa'!$N$27:$O$36,2,0)),VLOOKUP('Data Mahasiswa'!B582:I582,'Data Mahasiswa'!$N$27:$O$36,2,0),0))</f>
        <v>D</v>
      </c>
      <c r="K582" s="5" t="str">
        <f t="shared" si="29"/>
        <v>Tidak Eligible</v>
      </c>
    </row>
    <row r="583" spans="1:11" x14ac:dyDescent="0.3">
      <c r="A583" s="8">
        <v>582</v>
      </c>
      <c r="B583" s="8" t="s">
        <v>632</v>
      </c>
      <c r="C583" s="8" t="s">
        <v>1316</v>
      </c>
      <c r="D583" s="8" t="s">
        <v>780</v>
      </c>
      <c r="E583" s="9">
        <f t="shared" si="27"/>
        <v>2025</v>
      </c>
      <c r="F583" s="8" t="str">
        <f>INDEX('Data Mahasiswa'!$N$1:$Q$14, MATCH(MID('Data Status Pendaftar'!B583, 5,2), 'Data Mahasiswa'!$N$1:$N$14,0),2)</f>
        <v>Ekonomi</v>
      </c>
      <c r="G583" s="8" t="str" cm="1">
        <f t="array" ref="G583">INDEX('Data Mahasiswa'!$Q$2:$Q$14, MATCH(MID('Data Status Pendaftar'!B583,5,3), 'Data Mahasiswa'!$N$2:$N$14&amp;TEXT('Data Mahasiswa'!$P$2:$P$14,"0"), 0))</f>
        <v>Manajemen</v>
      </c>
      <c r="H583" s="9">
        <f t="shared" ca="1" si="28"/>
        <v>2</v>
      </c>
      <c r="I583" s="10">
        <f>INDEX('Data Mahasiswa'!$A$1:$J$701, MATCH('Data Status Pendaftar'!B583, 'Data Mahasiswa'!$A$1:$A$701, 0), 10)</f>
        <v>2.7916666666666665</v>
      </c>
      <c r="J583" s="8" t="str" cm="1">
        <f t="array" ref="J583">INDEX('Data Mahasiswa'!B583:I583,MATCH(MIN(VLOOKUP('Data Mahasiswa'!B583:I583,'Data Mahasiswa'!$N$27:$O$36,2,0)),VLOOKUP('Data Mahasiswa'!B583:I583,'Data Mahasiswa'!$N$27:$O$36,2,0),0))</f>
        <v>D</v>
      </c>
      <c r="K583" s="8" t="str">
        <f t="shared" si="29"/>
        <v>Tidak Eligible</v>
      </c>
    </row>
    <row r="584" spans="1:11" x14ac:dyDescent="0.3">
      <c r="A584" s="5">
        <v>583</v>
      </c>
      <c r="B584" s="5" t="s">
        <v>633</v>
      </c>
      <c r="C584" s="5" t="s">
        <v>1317</v>
      </c>
      <c r="D584" s="5" t="s">
        <v>780</v>
      </c>
      <c r="E584" s="6">
        <f t="shared" si="27"/>
        <v>2025</v>
      </c>
      <c r="F584" s="5" t="str">
        <f>INDEX('Data Mahasiswa'!$N$1:$Q$14, MATCH(MID('Data Status Pendaftar'!B584, 5,2), 'Data Mahasiswa'!$N$1:$N$14,0),2)</f>
        <v>Ekonomi</v>
      </c>
      <c r="G584" s="5" t="str" cm="1">
        <f t="array" ref="G584">INDEX('Data Mahasiswa'!$Q$2:$Q$14, MATCH(MID('Data Status Pendaftar'!B584,5,3), 'Data Mahasiswa'!$N$2:$N$14&amp;TEXT('Data Mahasiswa'!$P$2:$P$14,"0"), 0))</f>
        <v>Manajemen</v>
      </c>
      <c r="H584" s="6">
        <f t="shared" ca="1" si="28"/>
        <v>2</v>
      </c>
      <c r="I584" s="7">
        <f>INDEX('Data Mahasiswa'!$A$1:$J$701, MATCH('Data Status Pendaftar'!B584, 'Data Mahasiswa'!$A$1:$A$701, 0), 10)</f>
        <v>3.5833333333333335</v>
      </c>
      <c r="J584" s="5" t="str" cm="1">
        <f t="array" ref="J584">INDEX('Data Mahasiswa'!B584:I584,MATCH(MIN(VLOOKUP('Data Mahasiswa'!B584:I584,'Data Mahasiswa'!$N$27:$O$36,2,0)),VLOOKUP('Data Mahasiswa'!B584:I584,'Data Mahasiswa'!$N$27:$O$36,2,0),0))</f>
        <v>B</v>
      </c>
      <c r="K584" s="5" t="str">
        <f t="shared" si="29"/>
        <v>Eligible</v>
      </c>
    </row>
    <row r="585" spans="1:11" x14ac:dyDescent="0.3">
      <c r="A585" s="8">
        <v>584</v>
      </c>
      <c r="B585" s="8" t="s">
        <v>634</v>
      </c>
      <c r="C585" s="8" t="s">
        <v>1318</v>
      </c>
      <c r="D585" s="8" t="s">
        <v>779</v>
      </c>
      <c r="E585" s="9">
        <f t="shared" si="27"/>
        <v>2025</v>
      </c>
      <c r="F585" s="8" t="str">
        <f>INDEX('Data Mahasiswa'!$N$1:$Q$14, MATCH(MID('Data Status Pendaftar'!B585, 5,2), 'Data Mahasiswa'!$N$1:$N$14,0),2)</f>
        <v>Ekonomi</v>
      </c>
      <c r="G585" s="8" t="str" cm="1">
        <f t="array" ref="G585">INDEX('Data Mahasiswa'!$Q$2:$Q$14, MATCH(MID('Data Status Pendaftar'!B585,5,3), 'Data Mahasiswa'!$N$2:$N$14&amp;TEXT('Data Mahasiswa'!$P$2:$P$14,"0"), 0))</f>
        <v>Manajemen</v>
      </c>
      <c r="H585" s="9">
        <f t="shared" ca="1" si="28"/>
        <v>2</v>
      </c>
      <c r="I585" s="10">
        <f>INDEX('Data Mahasiswa'!$A$1:$J$701, MATCH('Data Status Pendaftar'!B585, 'Data Mahasiswa'!$A$1:$A$701, 0), 10)</f>
        <v>2.96875</v>
      </c>
      <c r="J585" s="8" t="str" cm="1">
        <f t="array" ref="J585">INDEX('Data Mahasiswa'!B585:I585,MATCH(MIN(VLOOKUP('Data Mahasiswa'!B585:I585,'Data Mahasiswa'!$N$27:$O$36,2,0)),VLOOKUP('Data Mahasiswa'!B585:I585,'Data Mahasiswa'!$N$27:$O$36,2,0),0))</f>
        <v>C</v>
      </c>
      <c r="K585" s="8" t="str">
        <f t="shared" si="29"/>
        <v>Eligible</v>
      </c>
    </row>
    <row r="586" spans="1:11" x14ac:dyDescent="0.3">
      <c r="A586" s="5">
        <v>585</v>
      </c>
      <c r="B586" s="5" t="s">
        <v>635</v>
      </c>
      <c r="C586" s="5" t="s">
        <v>1319</v>
      </c>
      <c r="D586" s="5" t="s">
        <v>780</v>
      </c>
      <c r="E586" s="6">
        <f t="shared" si="27"/>
        <v>2025</v>
      </c>
      <c r="F586" s="5" t="str">
        <f>INDEX('Data Mahasiswa'!$N$1:$Q$14, MATCH(MID('Data Status Pendaftar'!B586, 5,2), 'Data Mahasiswa'!$N$1:$N$14,0),2)</f>
        <v>Ekonomi</v>
      </c>
      <c r="G586" s="5" t="str" cm="1">
        <f t="array" ref="G586">INDEX('Data Mahasiswa'!$Q$2:$Q$14, MATCH(MID('Data Status Pendaftar'!B586,5,3), 'Data Mahasiswa'!$N$2:$N$14&amp;TEXT('Data Mahasiswa'!$P$2:$P$14,"0"), 0))</f>
        <v>Manajemen</v>
      </c>
      <c r="H586" s="6">
        <f t="shared" ca="1" si="28"/>
        <v>2</v>
      </c>
      <c r="I586" s="7">
        <f>INDEX('Data Mahasiswa'!$A$1:$J$701, MATCH('Data Status Pendaftar'!B586, 'Data Mahasiswa'!$A$1:$A$701, 0), 10)</f>
        <v>3.0416666666666665</v>
      </c>
      <c r="J586" s="5" t="str" cm="1">
        <f t="array" ref="J586">INDEX('Data Mahasiswa'!B586:I586,MATCH(MIN(VLOOKUP('Data Mahasiswa'!B586:I586,'Data Mahasiswa'!$N$27:$O$36,2,0)),VLOOKUP('Data Mahasiswa'!B586:I586,'Data Mahasiswa'!$N$27:$O$36,2,0),0))</f>
        <v>C+</v>
      </c>
      <c r="K586" s="5" t="str">
        <f t="shared" si="29"/>
        <v>Eligible</v>
      </c>
    </row>
    <row r="587" spans="1:11" x14ac:dyDescent="0.3">
      <c r="A587" s="8">
        <v>586</v>
      </c>
      <c r="B587" s="8" t="s">
        <v>636</v>
      </c>
      <c r="C587" s="8" t="s">
        <v>1320</v>
      </c>
      <c r="D587" s="8" t="s">
        <v>779</v>
      </c>
      <c r="E587" s="9">
        <f t="shared" si="27"/>
        <v>2025</v>
      </c>
      <c r="F587" s="8" t="str">
        <f>INDEX('Data Mahasiswa'!$N$1:$Q$14, MATCH(MID('Data Status Pendaftar'!B587, 5,2), 'Data Mahasiswa'!$N$1:$N$14,0),2)</f>
        <v>Ekonomi</v>
      </c>
      <c r="G587" s="8" t="str" cm="1">
        <f t="array" ref="G587">INDEX('Data Mahasiswa'!$Q$2:$Q$14, MATCH(MID('Data Status Pendaftar'!B587,5,3), 'Data Mahasiswa'!$N$2:$N$14&amp;TEXT('Data Mahasiswa'!$P$2:$P$14,"0"), 0))</f>
        <v xml:space="preserve"> Akuntansi</v>
      </c>
      <c r="H587" s="9">
        <f t="shared" ca="1" si="28"/>
        <v>2</v>
      </c>
      <c r="I587" s="10">
        <f>INDEX('Data Mahasiswa'!$A$1:$J$701, MATCH('Data Status Pendaftar'!B587, 'Data Mahasiswa'!$A$1:$A$701, 0), 10)</f>
        <v>2.9583333333333335</v>
      </c>
      <c r="J587" s="8" t="str" cm="1">
        <f t="array" ref="J587">INDEX('Data Mahasiswa'!B587:I587,MATCH(MIN(VLOOKUP('Data Mahasiswa'!B587:I587,'Data Mahasiswa'!$N$27:$O$36,2,0)),VLOOKUP('Data Mahasiswa'!B587:I587,'Data Mahasiswa'!$N$27:$O$36,2,0),0))</f>
        <v>D</v>
      </c>
      <c r="K587" s="8" t="str">
        <f t="shared" si="29"/>
        <v>Tidak Eligible</v>
      </c>
    </row>
    <row r="588" spans="1:11" x14ac:dyDescent="0.3">
      <c r="A588" s="5">
        <v>587</v>
      </c>
      <c r="B588" s="5" t="s">
        <v>637</v>
      </c>
      <c r="C588" s="5" t="s">
        <v>1321</v>
      </c>
      <c r="D588" s="5" t="s">
        <v>779</v>
      </c>
      <c r="E588" s="6">
        <f t="shared" si="27"/>
        <v>2025</v>
      </c>
      <c r="F588" s="5" t="str">
        <f>INDEX('Data Mahasiswa'!$N$1:$Q$14, MATCH(MID('Data Status Pendaftar'!B588, 5,2), 'Data Mahasiswa'!$N$1:$N$14,0),2)</f>
        <v>Ekonomi</v>
      </c>
      <c r="G588" s="5" t="str" cm="1">
        <f t="array" ref="G588">INDEX('Data Mahasiswa'!$Q$2:$Q$14, MATCH(MID('Data Status Pendaftar'!B588,5,3), 'Data Mahasiswa'!$N$2:$N$14&amp;TEXT('Data Mahasiswa'!$P$2:$P$14,"0"), 0))</f>
        <v xml:space="preserve"> Akuntansi</v>
      </c>
      <c r="H588" s="6">
        <f t="shared" ca="1" si="28"/>
        <v>2</v>
      </c>
      <c r="I588" s="7">
        <f>INDEX('Data Mahasiswa'!$A$1:$J$701, MATCH('Data Status Pendaftar'!B588, 'Data Mahasiswa'!$A$1:$A$701, 0), 10)</f>
        <v>2.9895833333333335</v>
      </c>
      <c r="J588" s="5" t="str" cm="1">
        <f t="array" ref="J588">INDEX('Data Mahasiswa'!B588:I588,MATCH(MIN(VLOOKUP('Data Mahasiswa'!B588:I588,'Data Mahasiswa'!$N$27:$O$36,2,0)),VLOOKUP('Data Mahasiswa'!B588:I588,'Data Mahasiswa'!$N$27:$O$36,2,0),0))</f>
        <v>E</v>
      </c>
      <c r="K588" s="5" t="str">
        <f t="shared" si="29"/>
        <v>Tidak Eligible</v>
      </c>
    </row>
    <row r="589" spans="1:11" x14ac:dyDescent="0.3">
      <c r="A589" s="8">
        <v>588</v>
      </c>
      <c r="B589" s="8" t="s">
        <v>638</v>
      </c>
      <c r="C589" s="8" t="s">
        <v>1322</v>
      </c>
      <c r="D589" s="8" t="s">
        <v>780</v>
      </c>
      <c r="E589" s="9">
        <f t="shared" si="27"/>
        <v>2025</v>
      </c>
      <c r="F589" s="8" t="str">
        <f>INDEX('Data Mahasiswa'!$N$1:$Q$14, MATCH(MID('Data Status Pendaftar'!B589, 5,2), 'Data Mahasiswa'!$N$1:$N$14,0),2)</f>
        <v>Ekonomi</v>
      </c>
      <c r="G589" s="8" t="str" cm="1">
        <f t="array" ref="G589">INDEX('Data Mahasiswa'!$Q$2:$Q$14, MATCH(MID('Data Status Pendaftar'!B589,5,3), 'Data Mahasiswa'!$N$2:$N$14&amp;TEXT('Data Mahasiswa'!$P$2:$P$14,"0"), 0))</f>
        <v xml:space="preserve"> Akuntansi</v>
      </c>
      <c r="H589" s="9">
        <f t="shared" ca="1" si="28"/>
        <v>2</v>
      </c>
      <c r="I589" s="10">
        <f>INDEX('Data Mahasiswa'!$A$1:$J$701, MATCH('Data Status Pendaftar'!B589, 'Data Mahasiswa'!$A$1:$A$701, 0), 10)</f>
        <v>3.6458333333333335</v>
      </c>
      <c r="J589" s="8" t="str" cm="1">
        <f t="array" ref="J589">INDEX('Data Mahasiswa'!B589:I589,MATCH(MIN(VLOOKUP('Data Mahasiswa'!B589:I589,'Data Mahasiswa'!$N$27:$O$36,2,0)),VLOOKUP('Data Mahasiswa'!B589:I589,'Data Mahasiswa'!$N$27:$O$36,2,0),0))</f>
        <v>B</v>
      </c>
      <c r="K589" s="8" t="str">
        <f t="shared" si="29"/>
        <v>Eligible</v>
      </c>
    </row>
    <row r="590" spans="1:11" x14ac:dyDescent="0.3">
      <c r="A590" s="5">
        <v>589</v>
      </c>
      <c r="B590" s="5" t="s">
        <v>639</v>
      </c>
      <c r="C590" s="5" t="s">
        <v>1323</v>
      </c>
      <c r="D590" s="5" t="s">
        <v>779</v>
      </c>
      <c r="E590" s="6">
        <f t="shared" si="27"/>
        <v>2025</v>
      </c>
      <c r="F590" s="5" t="str">
        <f>INDEX('Data Mahasiswa'!$N$1:$Q$14, MATCH(MID('Data Status Pendaftar'!B590, 5,2), 'Data Mahasiswa'!$N$1:$N$14,0),2)</f>
        <v>Ekonomi</v>
      </c>
      <c r="G590" s="5" t="str" cm="1">
        <f t="array" ref="G590">INDEX('Data Mahasiswa'!$Q$2:$Q$14, MATCH(MID('Data Status Pendaftar'!B590,5,3), 'Data Mahasiswa'!$N$2:$N$14&amp;TEXT('Data Mahasiswa'!$P$2:$P$14,"0"), 0))</f>
        <v xml:space="preserve"> Akuntansi</v>
      </c>
      <c r="H590" s="6">
        <f t="shared" ca="1" si="28"/>
        <v>2</v>
      </c>
      <c r="I590" s="7">
        <f>INDEX('Data Mahasiswa'!$A$1:$J$701, MATCH('Data Status Pendaftar'!B590, 'Data Mahasiswa'!$A$1:$A$701, 0), 10)</f>
        <v>2.6041666666666665</v>
      </c>
      <c r="J590" s="5" t="str" cm="1">
        <f t="array" ref="J590">INDEX('Data Mahasiswa'!B590:I590,MATCH(MIN(VLOOKUP('Data Mahasiswa'!B590:I590,'Data Mahasiswa'!$N$27:$O$36,2,0)),VLOOKUP('Data Mahasiswa'!B590:I590,'Data Mahasiswa'!$N$27:$O$36,2,0),0))</f>
        <v>E</v>
      </c>
      <c r="K590" s="5" t="str">
        <f t="shared" si="29"/>
        <v>Tidak Eligible</v>
      </c>
    </row>
    <row r="591" spans="1:11" x14ac:dyDescent="0.3">
      <c r="A591" s="8">
        <v>590</v>
      </c>
      <c r="B591" s="8" t="s">
        <v>640</v>
      </c>
      <c r="C591" s="8" t="s">
        <v>1324</v>
      </c>
      <c r="D591" s="8" t="s">
        <v>780</v>
      </c>
      <c r="E591" s="9">
        <f t="shared" si="27"/>
        <v>2025</v>
      </c>
      <c r="F591" s="8" t="str">
        <f>INDEX('Data Mahasiswa'!$N$1:$Q$14, MATCH(MID('Data Status Pendaftar'!B591, 5,2), 'Data Mahasiswa'!$N$1:$N$14,0),2)</f>
        <v>Ekonomi</v>
      </c>
      <c r="G591" s="8" t="str" cm="1">
        <f t="array" ref="G591">INDEX('Data Mahasiswa'!$Q$2:$Q$14, MATCH(MID('Data Status Pendaftar'!B591,5,3), 'Data Mahasiswa'!$N$2:$N$14&amp;TEXT('Data Mahasiswa'!$P$2:$P$14,"0"), 0))</f>
        <v xml:space="preserve"> Akuntansi</v>
      </c>
      <c r="H591" s="9">
        <f t="shared" ca="1" si="28"/>
        <v>2</v>
      </c>
      <c r="I591" s="10">
        <f>INDEX('Data Mahasiswa'!$A$1:$J$701, MATCH('Data Status Pendaftar'!B591, 'Data Mahasiswa'!$A$1:$A$701, 0), 10)</f>
        <v>3.03125</v>
      </c>
      <c r="J591" s="8" t="str" cm="1">
        <f t="array" ref="J591">INDEX('Data Mahasiswa'!B591:I591,MATCH(MIN(VLOOKUP('Data Mahasiswa'!B591:I591,'Data Mahasiswa'!$N$27:$O$36,2,0)),VLOOKUP('Data Mahasiswa'!B591:I591,'Data Mahasiswa'!$N$27:$O$36,2,0),0))</f>
        <v>D</v>
      </c>
      <c r="K591" s="8" t="str">
        <f t="shared" si="29"/>
        <v>Tidak Eligible</v>
      </c>
    </row>
    <row r="592" spans="1:11" x14ac:dyDescent="0.3">
      <c r="A592" s="5">
        <v>591</v>
      </c>
      <c r="B592" s="5" t="s">
        <v>641</v>
      </c>
      <c r="C592" s="5" t="s">
        <v>1325</v>
      </c>
      <c r="D592" s="5" t="s">
        <v>780</v>
      </c>
      <c r="E592" s="6">
        <f t="shared" si="27"/>
        <v>2025</v>
      </c>
      <c r="F592" s="5" t="str">
        <f>INDEX('Data Mahasiswa'!$N$1:$Q$14, MATCH(MID('Data Status Pendaftar'!B592, 5,2), 'Data Mahasiswa'!$N$1:$N$14,0),2)</f>
        <v>Ekonomi</v>
      </c>
      <c r="G592" s="5" t="str" cm="1">
        <f t="array" ref="G592">INDEX('Data Mahasiswa'!$Q$2:$Q$14, MATCH(MID('Data Status Pendaftar'!B592,5,3), 'Data Mahasiswa'!$N$2:$N$14&amp;TEXT('Data Mahasiswa'!$P$2:$P$14,"0"), 0))</f>
        <v xml:space="preserve"> Akuntansi</v>
      </c>
      <c r="H592" s="6">
        <f t="shared" ca="1" si="28"/>
        <v>2</v>
      </c>
      <c r="I592" s="7">
        <f>INDEX('Data Mahasiswa'!$A$1:$J$701, MATCH('Data Status Pendaftar'!B592, 'Data Mahasiswa'!$A$1:$A$701, 0), 10)</f>
        <v>3.21875</v>
      </c>
      <c r="J592" s="5" t="str" cm="1">
        <f t="array" ref="J592">INDEX('Data Mahasiswa'!B592:I592,MATCH(MIN(VLOOKUP('Data Mahasiswa'!B592:I592,'Data Mahasiswa'!$N$27:$O$36,2,0)),VLOOKUP('Data Mahasiswa'!B592:I592,'Data Mahasiswa'!$N$27:$O$36,2,0),0))</f>
        <v>C</v>
      </c>
      <c r="K592" s="5" t="str">
        <f t="shared" si="29"/>
        <v>Eligible</v>
      </c>
    </row>
    <row r="593" spans="1:11" x14ac:dyDescent="0.3">
      <c r="A593" s="8">
        <v>592</v>
      </c>
      <c r="B593" s="8" t="s">
        <v>642</v>
      </c>
      <c r="C593" s="8" t="s">
        <v>1326</v>
      </c>
      <c r="D593" s="8" t="s">
        <v>780</v>
      </c>
      <c r="E593" s="9">
        <f t="shared" si="27"/>
        <v>2025</v>
      </c>
      <c r="F593" s="8" t="str">
        <f>INDEX('Data Mahasiswa'!$N$1:$Q$14, MATCH(MID('Data Status Pendaftar'!B593, 5,2), 'Data Mahasiswa'!$N$1:$N$14,0),2)</f>
        <v>Ekonomi</v>
      </c>
      <c r="G593" s="8" t="str" cm="1">
        <f t="array" ref="G593">INDEX('Data Mahasiswa'!$Q$2:$Q$14, MATCH(MID('Data Status Pendaftar'!B593,5,3), 'Data Mahasiswa'!$N$2:$N$14&amp;TEXT('Data Mahasiswa'!$P$2:$P$14,"0"), 0))</f>
        <v xml:space="preserve"> Akuntansi</v>
      </c>
      <c r="H593" s="9">
        <f t="shared" ca="1" si="28"/>
        <v>2</v>
      </c>
      <c r="I593" s="10">
        <f>INDEX('Data Mahasiswa'!$A$1:$J$701, MATCH('Data Status Pendaftar'!B593, 'Data Mahasiswa'!$A$1:$A$701, 0), 10)</f>
        <v>3.09375</v>
      </c>
      <c r="J593" s="8" t="str" cm="1">
        <f t="array" ref="J593">INDEX('Data Mahasiswa'!B593:I593,MATCH(MIN(VLOOKUP('Data Mahasiswa'!B593:I593,'Data Mahasiswa'!$N$27:$O$36,2,0)),VLOOKUP('Data Mahasiswa'!B593:I593,'Data Mahasiswa'!$N$27:$O$36,2,0),0))</f>
        <v>C</v>
      </c>
      <c r="K593" s="8" t="str">
        <f t="shared" si="29"/>
        <v>Eligible</v>
      </c>
    </row>
    <row r="594" spans="1:11" x14ac:dyDescent="0.3">
      <c r="A594" s="5">
        <v>593</v>
      </c>
      <c r="B594" s="5" t="s">
        <v>643</v>
      </c>
      <c r="C594" s="5" t="s">
        <v>1327</v>
      </c>
      <c r="D594" s="5" t="s">
        <v>779</v>
      </c>
      <c r="E594" s="6">
        <f t="shared" si="27"/>
        <v>2025</v>
      </c>
      <c r="F594" s="5" t="str">
        <f>INDEX('Data Mahasiswa'!$N$1:$Q$14, MATCH(MID('Data Status Pendaftar'!B594, 5,2), 'Data Mahasiswa'!$N$1:$N$14,0),2)</f>
        <v>Ekonomi</v>
      </c>
      <c r="G594" s="5" t="str" cm="1">
        <f t="array" ref="G594">INDEX('Data Mahasiswa'!$Q$2:$Q$14, MATCH(MID('Data Status Pendaftar'!B594,5,3), 'Data Mahasiswa'!$N$2:$N$14&amp;TEXT('Data Mahasiswa'!$P$2:$P$14,"0"), 0))</f>
        <v xml:space="preserve"> Akuntansi</v>
      </c>
      <c r="H594" s="6">
        <f t="shared" ca="1" si="28"/>
        <v>2</v>
      </c>
      <c r="I594" s="7">
        <f>INDEX('Data Mahasiswa'!$A$1:$J$701, MATCH('Data Status Pendaftar'!B594, 'Data Mahasiswa'!$A$1:$A$701, 0), 10)</f>
        <v>3.1979166666666665</v>
      </c>
      <c r="J594" s="5" t="str" cm="1">
        <f t="array" ref="J594">INDEX('Data Mahasiswa'!B594:I594,MATCH(MIN(VLOOKUP('Data Mahasiswa'!B594:I594,'Data Mahasiswa'!$N$27:$O$36,2,0)),VLOOKUP('Data Mahasiswa'!B594:I594,'Data Mahasiswa'!$N$27:$O$36,2,0),0))</f>
        <v>D</v>
      </c>
      <c r="K594" s="5" t="str">
        <f t="shared" si="29"/>
        <v>Tidak Eligible</v>
      </c>
    </row>
    <row r="595" spans="1:11" x14ac:dyDescent="0.3">
      <c r="A595" s="8">
        <v>594</v>
      </c>
      <c r="B595" s="8" t="s">
        <v>644</v>
      </c>
      <c r="C595" s="8" t="s">
        <v>1328</v>
      </c>
      <c r="D595" s="8" t="s">
        <v>780</v>
      </c>
      <c r="E595" s="9">
        <f t="shared" si="27"/>
        <v>2025</v>
      </c>
      <c r="F595" s="8" t="str">
        <f>INDEX('Data Mahasiswa'!$N$1:$Q$14, MATCH(MID('Data Status Pendaftar'!B595, 5,2), 'Data Mahasiswa'!$N$1:$N$14,0),2)</f>
        <v>Ekonomi</v>
      </c>
      <c r="G595" s="8" t="str" cm="1">
        <f t="array" ref="G595">INDEX('Data Mahasiswa'!$Q$2:$Q$14, MATCH(MID('Data Status Pendaftar'!B595,5,3), 'Data Mahasiswa'!$N$2:$N$14&amp;TEXT('Data Mahasiswa'!$P$2:$P$14,"0"), 0))</f>
        <v xml:space="preserve"> Akuntansi</v>
      </c>
      <c r="H595" s="9">
        <f t="shared" ca="1" si="28"/>
        <v>2</v>
      </c>
      <c r="I595" s="10">
        <f>INDEX('Data Mahasiswa'!$A$1:$J$701, MATCH('Data Status Pendaftar'!B595, 'Data Mahasiswa'!$A$1:$A$701, 0), 10)</f>
        <v>2.6770833333333335</v>
      </c>
      <c r="J595" s="8" t="str" cm="1">
        <f t="array" ref="J595">INDEX('Data Mahasiswa'!B595:I595,MATCH(MIN(VLOOKUP('Data Mahasiswa'!B595:I595,'Data Mahasiswa'!$N$27:$O$36,2,0)),VLOOKUP('Data Mahasiswa'!B595:I595,'Data Mahasiswa'!$N$27:$O$36,2,0),0))</f>
        <v>D</v>
      </c>
      <c r="K595" s="8" t="str">
        <f t="shared" si="29"/>
        <v>Tidak Eligible</v>
      </c>
    </row>
    <row r="596" spans="1:11" x14ac:dyDescent="0.3">
      <c r="A596" s="5">
        <v>595</v>
      </c>
      <c r="B596" s="5" t="s">
        <v>645</v>
      </c>
      <c r="C596" s="5" t="s">
        <v>1219</v>
      </c>
      <c r="D596" s="5" t="s">
        <v>780</v>
      </c>
      <c r="E596" s="6">
        <f t="shared" si="27"/>
        <v>2025</v>
      </c>
      <c r="F596" s="5" t="str">
        <f>INDEX('Data Mahasiswa'!$N$1:$Q$14, MATCH(MID('Data Status Pendaftar'!B596, 5,2), 'Data Mahasiswa'!$N$1:$N$14,0),2)</f>
        <v>Ekonomi</v>
      </c>
      <c r="G596" s="5" t="str" cm="1">
        <f t="array" ref="G596">INDEX('Data Mahasiswa'!$Q$2:$Q$14, MATCH(MID('Data Status Pendaftar'!B596,5,3), 'Data Mahasiswa'!$N$2:$N$14&amp;TEXT('Data Mahasiswa'!$P$2:$P$14,"0"), 0))</f>
        <v xml:space="preserve"> Akuntansi</v>
      </c>
      <c r="H596" s="6">
        <f t="shared" ca="1" si="28"/>
        <v>2</v>
      </c>
      <c r="I596" s="7">
        <f>INDEX('Data Mahasiswa'!$A$1:$J$701, MATCH('Data Status Pendaftar'!B596, 'Data Mahasiswa'!$A$1:$A$701, 0), 10)</f>
        <v>3.2708333333333335</v>
      </c>
      <c r="J596" s="5" t="str" cm="1">
        <f t="array" ref="J596">INDEX('Data Mahasiswa'!B596:I596,MATCH(MIN(VLOOKUP('Data Mahasiswa'!B596:I596,'Data Mahasiswa'!$N$27:$O$36,2,0)),VLOOKUP('Data Mahasiswa'!B596:I596,'Data Mahasiswa'!$N$27:$O$36,2,0),0))</f>
        <v>C</v>
      </c>
      <c r="K596" s="5" t="str">
        <f t="shared" si="29"/>
        <v>Eligible</v>
      </c>
    </row>
    <row r="597" spans="1:11" x14ac:dyDescent="0.3">
      <c r="A597" s="8">
        <v>596</v>
      </c>
      <c r="B597" s="8" t="s">
        <v>646</v>
      </c>
      <c r="C597" s="8" t="s">
        <v>1329</v>
      </c>
      <c r="D597" s="8" t="s">
        <v>779</v>
      </c>
      <c r="E597" s="9">
        <f t="shared" si="27"/>
        <v>2025</v>
      </c>
      <c r="F597" s="8" t="str">
        <f>INDEX('Data Mahasiswa'!$N$1:$Q$14, MATCH(MID('Data Status Pendaftar'!B597, 5,2), 'Data Mahasiswa'!$N$1:$N$14,0),2)</f>
        <v>Ekonomi</v>
      </c>
      <c r="G597" s="8" t="str" cm="1">
        <f t="array" ref="G597">INDEX('Data Mahasiswa'!$Q$2:$Q$14, MATCH(MID('Data Status Pendaftar'!B597,5,3), 'Data Mahasiswa'!$N$2:$N$14&amp;TEXT('Data Mahasiswa'!$P$2:$P$14,"0"), 0))</f>
        <v xml:space="preserve"> Akuntansi</v>
      </c>
      <c r="H597" s="9">
        <f t="shared" ca="1" si="28"/>
        <v>2</v>
      </c>
      <c r="I597" s="10">
        <f>INDEX('Data Mahasiswa'!$A$1:$J$701, MATCH('Data Status Pendaftar'!B597, 'Data Mahasiswa'!$A$1:$A$701, 0), 10)</f>
        <v>2.9375</v>
      </c>
      <c r="J597" s="8" t="str" cm="1">
        <f t="array" ref="J597">INDEX('Data Mahasiswa'!B597:I597,MATCH(MIN(VLOOKUP('Data Mahasiswa'!B597:I597,'Data Mahasiswa'!$N$27:$O$36,2,0)),VLOOKUP('Data Mahasiswa'!B597:I597,'Data Mahasiswa'!$N$27:$O$36,2,0),0))</f>
        <v>C</v>
      </c>
      <c r="K597" s="8" t="str">
        <f t="shared" si="29"/>
        <v>Eligible</v>
      </c>
    </row>
    <row r="598" spans="1:11" x14ac:dyDescent="0.3">
      <c r="A598" s="5">
        <v>597</v>
      </c>
      <c r="B598" s="5" t="s">
        <v>647</v>
      </c>
      <c r="C598" s="5" t="s">
        <v>1330</v>
      </c>
      <c r="D598" s="5" t="s">
        <v>780</v>
      </c>
      <c r="E598" s="6">
        <f t="shared" si="27"/>
        <v>2025</v>
      </c>
      <c r="F598" s="5" t="str">
        <f>INDEX('Data Mahasiswa'!$N$1:$Q$14, MATCH(MID('Data Status Pendaftar'!B598, 5,2), 'Data Mahasiswa'!$N$1:$N$14,0),2)</f>
        <v>Ekonomi</v>
      </c>
      <c r="G598" s="5" t="str" cm="1">
        <f t="array" ref="G598">INDEX('Data Mahasiswa'!$Q$2:$Q$14, MATCH(MID('Data Status Pendaftar'!B598,5,3), 'Data Mahasiswa'!$N$2:$N$14&amp;TEXT('Data Mahasiswa'!$P$2:$P$14,"0"), 0))</f>
        <v xml:space="preserve"> Akuntansi</v>
      </c>
      <c r="H598" s="6">
        <f t="shared" ca="1" si="28"/>
        <v>2</v>
      </c>
      <c r="I598" s="7">
        <f>INDEX('Data Mahasiswa'!$A$1:$J$701, MATCH('Data Status Pendaftar'!B598, 'Data Mahasiswa'!$A$1:$A$701, 0), 10)</f>
        <v>3.1145833333333335</v>
      </c>
      <c r="J598" s="5" t="str" cm="1">
        <f t="array" ref="J598">INDEX('Data Mahasiswa'!B598:I598,MATCH(MIN(VLOOKUP('Data Mahasiswa'!B598:I598,'Data Mahasiswa'!$N$27:$O$36,2,0)),VLOOKUP('Data Mahasiswa'!B598:I598,'Data Mahasiswa'!$N$27:$O$36,2,0),0))</f>
        <v>C</v>
      </c>
      <c r="K598" s="5" t="str">
        <f t="shared" si="29"/>
        <v>Eligible</v>
      </c>
    </row>
    <row r="599" spans="1:11" x14ac:dyDescent="0.3">
      <c r="A599" s="8">
        <v>598</v>
      </c>
      <c r="B599" s="8" t="s">
        <v>648</v>
      </c>
      <c r="C599" s="8" t="s">
        <v>1331</v>
      </c>
      <c r="D599" s="8" t="s">
        <v>780</v>
      </c>
      <c r="E599" s="9">
        <f t="shared" si="27"/>
        <v>2025</v>
      </c>
      <c r="F599" s="8" t="str">
        <f>INDEX('Data Mahasiswa'!$N$1:$Q$14, MATCH(MID('Data Status Pendaftar'!B599, 5,2), 'Data Mahasiswa'!$N$1:$N$14,0),2)</f>
        <v>Ekonomi</v>
      </c>
      <c r="G599" s="8" t="str" cm="1">
        <f t="array" ref="G599">INDEX('Data Mahasiswa'!$Q$2:$Q$14, MATCH(MID('Data Status Pendaftar'!B599,5,3), 'Data Mahasiswa'!$N$2:$N$14&amp;TEXT('Data Mahasiswa'!$P$2:$P$14,"0"), 0))</f>
        <v xml:space="preserve"> Akuntansi</v>
      </c>
      <c r="H599" s="9">
        <f t="shared" ca="1" si="28"/>
        <v>2</v>
      </c>
      <c r="I599" s="10">
        <f>INDEX('Data Mahasiswa'!$A$1:$J$701, MATCH('Data Status Pendaftar'!B599, 'Data Mahasiswa'!$A$1:$A$701, 0), 10)</f>
        <v>3.3958333333333335</v>
      </c>
      <c r="J599" s="8" t="str" cm="1">
        <f t="array" ref="J599">INDEX('Data Mahasiswa'!B599:I599,MATCH(MIN(VLOOKUP('Data Mahasiswa'!B599:I599,'Data Mahasiswa'!$N$27:$O$36,2,0)),VLOOKUP('Data Mahasiswa'!B599:I599,'Data Mahasiswa'!$N$27:$O$36,2,0),0))</f>
        <v>C+</v>
      </c>
      <c r="K599" s="8" t="str">
        <f t="shared" si="29"/>
        <v>Eligible</v>
      </c>
    </row>
    <row r="600" spans="1:11" x14ac:dyDescent="0.3">
      <c r="A600" s="5">
        <v>599</v>
      </c>
      <c r="B600" s="5" t="s">
        <v>649</v>
      </c>
      <c r="C600" s="5" t="s">
        <v>1332</v>
      </c>
      <c r="D600" s="5" t="s">
        <v>780</v>
      </c>
      <c r="E600" s="6">
        <f t="shared" si="27"/>
        <v>2025</v>
      </c>
      <c r="F600" s="5" t="str">
        <f>INDEX('Data Mahasiswa'!$N$1:$Q$14, MATCH(MID('Data Status Pendaftar'!B600, 5,2), 'Data Mahasiswa'!$N$1:$N$14,0),2)</f>
        <v>Ekonomi</v>
      </c>
      <c r="G600" s="5" t="str" cm="1">
        <f t="array" ref="G600">INDEX('Data Mahasiswa'!$Q$2:$Q$14, MATCH(MID('Data Status Pendaftar'!B600,5,3), 'Data Mahasiswa'!$N$2:$N$14&amp;TEXT('Data Mahasiswa'!$P$2:$P$14,"0"), 0))</f>
        <v xml:space="preserve"> Akuntansi</v>
      </c>
      <c r="H600" s="6">
        <f t="shared" ca="1" si="28"/>
        <v>2</v>
      </c>
      <c r="I600" s="7">
        <f>INDEX('Data Mahasiswa'!$A$1:$J$701, MATCH('Data Status Pendaftar'!B600, 'Data Mahasiswa'!$A$1:$A$701, 0), 10)</f>
        <v>3.3333333333333335</v>
      </c>
      <c r="J600" s="5" t="str" cm="1">
        <f t="array" ref="J600">INDEX('Data Mahasiswa'!B600:I600,MATCH(MIN(VLOOKUP('Data Mahasiswa'!B600:I600,'Data Mahasiswa'!$N$27:$O$36,2,0)),VLOOKUP('Data Mahasiswa'!B600:I600,'Data Mahasiswa'!$N$27:$O$36,2,0),0))</f>
        <v>C+</v>
      </c>
      <c r="K600" s="5" t="str">
        <f t="shared" si="29"/>
        <v>Eligible</v>
      </c>
    </row>
    <row r="601" spans="1:11" x14ac:dyDescent="0.3">
      <c r="A601" s="8">
        <v>600</v>
      </c>
      <c r="B601" s="8" t="s">
        <v>650</v>
      </c>
      <c r="C601" s="8" t="s">
        <v>1333</v>
      </c>
      <c r="D601" s="8" t="s">
        <v>779</v>
      </c>
      <c r="E601" s="9">
        <f t="shared" si="27"/>
        <v>2025</v>
      </c>
      <c r="F601" s="8" t="str">
        <f>INDEX('Data Mahasiswa'!$N$1:$Q$14, MATCH(MID('Data Status Pendaftar'!B601, 5,2), 'Data Mahasiswa'!$N$1:$N$14,0),2)</f>
        <v>Ekonomi</v>
      </c>
      <c r="G601" s="8" t="str" cm="1">
        <f t="array" ref="G601">INDEX('Data Mahasiswa'!$Q$2:$Q$14, MATCH(MID('Data Status Pendaftar'!B601,5,3), 'Data Mahasiswa'!$N$2:$N$14&amp;TEXT('Data Mahasiswa'!$P$2:$P$14,"0"), 0))</f>
        <v xml:space="preserve"> Akuntansi</v>
      </c>
      <c r="H601" s="9">
        <f t="shared" ca="1" si="28"/>
        <v>2</v>
      </c>
      <c r="I601" s="10">
        <f>INDEX('Data Mahasiswa'!$A$1:$J$701, MATCH('Data Status Pendaftar'!B601, 'Data Mahasiswa'!$A$1:$A$701, 0), 10)</f>
        <v>2.5625</v>
      </c>
      <c r="J601" s="8" t="str" cm="1">
        <f t="array" ref="J601">INDEX('Data Mahasiswa'!B601:I601,MATCH(MIN(VLOOKUP('Data Mahasiswa'!B601:I601,'Data Mahasiswa'!$N$27:$O$36,2,0)),VLOOKUP('Data Mahasiswa'!B601:I601,'Data Mahasiswa'!$N$27:$O$36,2,0),0))</f>
        <v>D</v>
      </c>
      <c r="K601" s="8" t="str">
        <f t="shared" si="29"/>
        <v>Tidak Eligible</v>
      </c>
    </row>
    <row r="602" spans="1:11" x14ac:dyDescent="0.3">
      <c r="A602" s="5">
        <v>601</v>
      </c>
      <c r="B602" s="5" t="s">
        <v>651</v>
      </c>
      <c r="C602" s="5" t="s">
        <v>1334</v>
      </c>
      <c r="D602" s="5" t="s">
        <v>780</v>
      </c>
      <c r="E602" s="6">
        <f t="shared" si="27"/>
        <v>2025</v>
      </c>
      <c r="F602" s="5" t="str">
        <f>INDEX('Data Mahasiswa'!$N$1:$Q$14, MATCH(MID('Data Status Pendaftar'!B602, 5,2), 'Data Mahasiswa'!$N$1:$N$14,0),2)</f>
        <v>Ekonomi</v>
      </c>
      <c r="G602" s="5" t="str" cm="1">
        <f t="array" ref="G602">INDEX('Data Mahasiswa'!$Q$2:$Q$14, MATCH(MID('Data Status Pendaftar'!B602,5,3), 'Data Mahasiswa'!$N$2:$N$14&amp;TEXT('Data Mahasiswa'!$P$2:$P$14,"0"), 0))</f>
        <v xml:space="preserve"> Akuntansi</v>
      </c>
      <c r="H602" s="6">
        <f t="shared" ca="1" si="28"/>
        <v>2</v>
      </c>
      <c r="I602" s="7">
        <f>INDEX('Data Mahasiswa'!$A$1:$J$701, MATCH('Data Status Pendaftar'!B602, 'Data Mahasiswa'!$A$1:$A$701, 0), 10)</f>
        <v>2.3333333333333335</v>
      </c>
      <c r="J602" s="5" t="str" cm="1">
        <f t="array" ref="J602">INDEX('Data Mahasiswa'!B602:I602,MATCH(MIN(VLOOKUP('Data Mahasiswa'!B602:I602,'Data Mahasiswa'!$N$27:$O$36,2,0)),VLOOKUP('Data Mahasiswa'!B602:I602,'Data Mahasiswa'!$N$27:$O$36,2,0),0))</f>
        <v>E</v>
      </c>
      <c r="K602" s="5" t="str">
        <f t="shared" si="29"/>
        <v>Tidak Eligible</v>
      </c>
    </row>
    <row r="603" spans="1:11" x14ac:dyDescent="0.3">
      <c r="A603" s="8">
        <v>602</v>
      </c>
      <c r="B603" s="8" t="s">
        <v>652</v>
      </c>
      <c r="C603" s="8" t="s">
        <v>1251</v>
      </c>
      <c r="D603" s="8" t="s">
        <v>779</v>
      </c>
      <c r="E603" s="9">
        <f t="shared" si="27"/>
        <v>2025</v>
      </c>
      <c r="F603" s="8" t="str">
        <f>INDEX('Data Mahasiswa'!$N$1:$Q$14, MATCH(MID('Data Status Pendaftar'!B603, 5,2), 'Data Mahasiswa'!$N$1:$N$14,0),2)</f>
        <v>Ekonomi</v>
      </c>
      <c r="G603" s="8" t="str" cm="1">
        <f t="array" ref="G603">INDEX('Data Mahasiswa'!$Q$2:$Q$14, MATCH(MID('Data Status Pendaftar'!B603,5,3), 'Data Mahasiswa'!$N$2:$N$14&amp;TEXT('Data Mahasiswa'!$P$2:$P$14,"0"), 0))</f>
        <v xml:space="preserve"> Akuntansi</v>
      </c>
      <c r="H603" s="9">
        <f t="shared" ca="1" si="28"/>
        <v>2</v>
      </c>
      <c r="I603" s="10">
        <f>INDEX('Data Mahasiswa'!$A$1:$J$701, MATCH('Data Status Pendaftar'!B603, 'Data Mahasiswa'!$A$1:$A$701, 0), 10)</f>
        <v>3.75</v>
      </c>
      <c r="J603" s="8" t="str" cm="1">
        <f t="array" ref="J603">INDEX('Data Mahasiswa'!B603:I603,MATCH(MIN(VLOOKUP('Data Mahasiswa'!B603:I603,'Data Mahasiswa'!$N$27:$O$36,2,0)),VLOOKUP('Data Mahasiswa'!B603:I603,'Data Mahasiswa'!$N$27:$O$36,2,0),0))</f>
        <v>B-</v>
      </c>
      <c r="K603" s="8" t="str">
        <f t="shared" si="29"/>
        <v>Eligible</v>
      </c>
    </row>
    <row r="604" spans="1:11" x14ac:dyDescent="0.3">
      <c r="A604" s="5">
        <v>603</v>
      </c>
      <c r="B604" s="5" t="s">
        <v>653</v>
      </c>
      <c r="C604" s="5" t="s">
        <v>1335</v>
      </c>
      <c r="D604" s="5" t="s">
        <v>780</v>
      </c>
      <c r="E604" s="6">
        <f t="shared" si="27"/>
        <v>2025</v>
      </c>
      <c r="F604" s="5" t="str">
        <f>INDEX('Data Mahasiswa'!$N$1:$Q$14, MATCH(MID('Data Status Pendaftar'!B604, 5,2), 'Data Mahasiswa'!$N$1:$N$14,0),2)</f>
        <v>Ekonomi</v>
      </c>
      <c r="G604" s="5" t="str" cm="1">
        <f t="array" ref="G604">INDEX('Data Mahasiswa'!$Q$2:$Q$14, MATCH(MID('Data Status Pendaftar'!B604,5,3), 'Data Mahasiswa'!$N$2:$N$14&amp;TEXT('Data Mahasiswa'!$P$2:$P$14,"0"), 0))</f>
        <v>Ekonomi Pembangunan</v>
      </c>
      <c r="H604" s="6">
        <f t="shared" ca="1" si="28"/>
        <v>2</v>
      </c>
      <c r="I604" s="7">
        <f>INDEX('Data Mahasiswa'!$A$1:$J$701, MATCH('Data Status Pendaftar'!B604, 'Data Mahasiswa'!$A$1:$A$701, 0), 10)</f>
        <v>2.7916666666666665</v>
      </c>
      <c r="J604" s="5" t="str" cm="1">
        <f t="array" ref="J604">INDEX('Data Mahasiswa'!B604:I604,MATCH(MIN(VLOOKUP('Data Mahasiswa'!B604:I604,'Data Mahasiswa'!$N$27:$O$36,2,0)),VLOOKUP('Data Mahasiswa'!B604:I604,'Data Mahasiswa'!$N$27:$O$36,2,0),0))</f>
        <v>E</v>
      </c>
      <c r="K604" s="5" t="str">
        <f t="shared" si="29"/>
        <v>Tidak Eligible</v>
      </c>
    </row>
    <row r="605" spans="1:11" x14ac:dyDescent="0.3">
      <c r="A605" s="8">
        <v>604</v>
      </c>
      <c r="B605" s="8" t="s">
        <v>654</v>
      </c>
      <c r="C605" s="8" t="s">
        <v>1233</v>
      </c>
      <c r="D605" s="8" t="s">
        <v>780</v>
      </c>
      <c r="E605" s="9">
        <f t="shared" si="27"/>
        <v>2025</v>
      </c>
      <c r="F605" s="8" t="str">
        <f>INDEX('Data Mahasiswa'!$N$1:$Q$14, MATCH(MID('Data Status Pendaftar'!B605, 5,2), 'Data Mahasiswa'!$N$1:$N$14,0),2)</f>
        <v>Ekonomi</v>
      </c>
      <c r="G605" s="8" t="str" cm="1">
        <f t="array" ref="G605">INDEX('Data Mahasiswa'!$Q$2:$Q$14, MATCH(MID('Data Status Pendaftar'!B605,5,3), 'Data Mahasiswa'!$N$2:$N$14&amp;TEXT('Data Mahasiswa'!$P$2:$P$14,"0"), 0))</f>
        <v>Ekonomi Pembangunan</v>
      </c>
      <c r="H605" s="9">
        <f t="shared" ca="1" si="28"/>
        <v>2</v>
      </c>
      <c r="I605" s="10">
        <f>INDEX('Data Mahasiswa'!$A$1:$J$701, MATCH('Data Status Pendaftar'!B605, 'Data Mahasiswa'!$A$1:$A$701, 0), 10)</f>
        <v>2.8854166666666665</v>
      </c>
      <c r="J605" s="8" t="str" cm="1">
        <f t="array" ref="J605">INDEX('Data Mahasiswa'!B605:I605,MATCH(MIN(VLOOKUP('Data Mahasiswa'!B605:I605,'Data Mahasiswa'!$N$27:$O$36,2,0)),VLOOKUP('Data Mahasiswa'!B605:I605,'Data Mahasiswa'!$N$27:$O$36,2,0),0))</f>
        <v>E</v>
      </c>
      <c r="K605" s="8" t="str">
        <f t="shared" si="29"/>
        <v>Tidak Eligible</v>
      </c>
    </row>
    <row r="606" spans="1:11" x14ac:dyDescent="0.3">
      <c r="A606" s="5">
        <v>605</v>
      </c>
      <c r="B606" s="5" t="s">
        <v>655</v>
      </c>
      <c r="C606" s="5" t="s">
        <v>1336</v>
      </c>
      <c r="D606" s="5" t="s">
        <v>780</v>
      </c>
      <c r="E606" s="6">
        <f t="shared" si="27"/>
        <v>2025</v>
      </c>
      <c r="F606" s="5" t="str">
        <f>INDEX('Data Mahasiswa'!$N$1:$Q$14, MATCH(MID('Data Status Pendaftar'!B606, 5,2), 'Data Mahasiswa'!$N$1:$N$14,0),2)</f>
        <v>Ekonomi</v>
      </c>
      <c r="G606" s="5" t="str" cm="1">
        <f t="array" ref="G606">INDEX('Data Mahasiswa'!$Q$2:$Q$14, MATCH(MID('Data Status Pendaftar'!B606,5,3), 'Data Mahasiswa'!$N$2:$N$14&amp;TEXT('Data Mahasiswa'!$P$2:$P$14,"0"), 0))</f>
        <v>Ekonomi Pembangunan</v>
      </c>
      <c r="H606" s="6">
        <f t="shared" ca="1" si="28"/>
        <v>2</v>
      </c>
      <c r="I606" s="7">
        <f>INDEX('Data Mahasiswa'!$A$1:$J$701, MATCH('Data Status Pendaftar'!B606, 'Data Mahasiswa'!$A$1:$A$701, 0), 10)</f>
        <v>3.1666666666666665</v>
      </c>
      <c r="J606" s="5" t="str" cm="1">
        <f t="array" ref="J606">INDEX('Data Mahasiswa'!B606:I606,MATCH(MIN(VLOOKUP('Data Mahasiswa'!B606:I606,'Data Mahasiswa'!$N$27:$O$36,2,0)),VLOOKUP('Data Mahasiswa'!B606:I606,'Data Mahasiswa'!$N$27:$O$36,2,0),0))</f>
        <v>C+</v>
      </c>
      <c r="K606" s="5" t="str">
        <f t="shared" si="29"/>
        <v>Eligible</v>
      </c>
    </row>
    <row r="607" spans="1:11" x14ac:dyDescent="0.3">
      <c r="A607" s="8">
        <v>606</v>
      </c>
      <c r="B607" s="8" t="s">
        <v>656</v>
      </c>
      <c r="C607" s="8" t="s">
        <v>1337</v>
      </c>
      <c r="D607" s="8" t="s">
        <v>780</v>
      </c>
      <c r="E607" s="9">
        <f t="shared" si="27"/>
        <v>2025</v>
      </c>
      <c r="F607" s="8" t="str">
        <f>INDEX('Data Mahasiswa'!$N$1:$Q$14, MATCH(MID('Data Status Pendaftar'!B607, 5,2), 'Data Mahasiswa'!$N$1:$N$14,0),2)</f>
        <v>Ekonomi</v>
      </c>
      <c r="G607" s="8" t="str" cm="1">
        <f t="array" ref="G607">INDEX('Data Mahasiswa'!$Q$2:$Q$14, MATCH(MID('Data Status Pendaftar'!B607,5,3), 'Data Mahasiswa'!$N$2:$N$14&amp;TEXT('Data Mahasiswa'!$P$2:$P$14,"0"), 0))</f>
        <v>Ekonomi Pembangunan</v>
      </c>
      <c r="H607" s="9">
        <f t="shared" ca="1" si="28"/>
        <v>2</v>
      </c>
      <c r="I607" s="10">
        <f>INDEX('Data Mahasiswa'!$A$1:$J$701, MATCH('Data Status Pendaftar'!B607, 'Data Mahasiswa'!$A$1:$A$701, 0), 10)</f>
        <v>2.5833333333333335</v>
      </c>
      <c r="J607" s="8" t="str" cm="1">
        <f t="array" ref="J607">INDEX('Data Mahasiswa'!B607:I607,MATCH(MIN(VLOOKUP('Data Mahasiswa'!B607:I607,'Data Mahasiswa'!$N$27:$O$36,2,0)),VLOOKUP('Data Mahasiswa'!B607:I607,'Data Mahasiswa'!$N$27:$O$36,2,0),0))</f>
        <v>D</v>
      </c>
      <c r="K607" s="8" t="str">
        <f t="shared" si="29"/>
        <v>Tidak Eligible</v>
      </c>
    </row>
    <row r="608" spans="1:11" x14ac:dyDescent="0.3">
      <c r="A608" s="5">
        <v>607</v>
      </c>
      <c r="B608" s="5" t="s">
        <v>657</v>
      </c>
      <c r="C608" s="5" t="s">
        <v>1338</v>
      </c>
      <c r="D608" s="5" t="s">
        <v>780</v>
      </c>
      <c r="E608" s="6">
        <f t="shared" si="27"/>
        <v>2025</v>
      </c>
      <c r="F608" s="5" t="str">
        <f>INDEX('Data Mahasiswa'!$N$1:$Q$14, MATCH(MID('Data Status Pendaftar'!B608, 5,2), 'Data Mahasiswa'!$N$1:$N$14,0),2)</f>
        <v>Ekonomi</v>
      </c>
      <c r="G608" s="5" t="str" cm="1">
        <f t="array" ref="G608">INDEX('Data Mahasiswa'!$Q$2:$Q$14, MATCH(MID('Data Status Pendaftar'!B608,5,3), 'Data Mahasiswa'!$N$2:$N$14&amp;TEXT('Data Mahasiswa'!$P$2:$P$14,"0"), 0))</f>
        <v>Ekonomi Pembangunan</v>
      </c>
      <c r="H608" s="6">
        <f t="shared" ca="1" si="28"/>
        <v>2</v>
      </c>
      <c r="I608" s="7">
        <f>INDEX('Data Mahasiswa'!$A$1:$J$701, MATCH('Data Status Pendaftar'!B608, 'Data Mahasiswa'!$A$1:$A$701, 0), 10)</f>
        <v>3.0729166666666665</v>
      </c>
      <c r="J608" s="5" t="str" cm="1">
        <f t="array" ref="J608">INDEX('Data Mahasiswa'!B608:I608,MATCH(MIN(VLOOKUP('Data Mahasiswa'!B608:I608,'Data Mahasiswa'!$N$27:$O$36,2,0)),VLOOKUP('Data Mahasiswa'!B608:I608,'Data Mahasiswa'!$N$27:$O$36,2,0),0))</f>
        <v>C</v>
      </c>
      <c r="K608" s="5" t="str">
        <f t="shared" si="29"/>
        <v>Eligible</v>
      </c>
    </row>
    <row r="609" spans="1:11" x14ac:dyDescent="0.3">
      <c r="A609" s="8">
        <v>608</v>
      </c>
      <c r="B609" s="8" t="s">
        <v>658</v>
      </c>
      <c r="C609" s="8" t="s">
        <v>1339</v>
      </c>
      <c r="D609" s="8" t="s">
        <v>779</v>
      </c>
      <c r="E609" s="9">
        <f t="shared" si="27"/>
        <v>2025</v>
      </c>
      <c r="F609" s="8" t="str">
        <f>INDEX('Data Mahasiswa'!$N$1:$Q$14, MATCH(MID('Data Status Pendaftar'!B609, 5,2), 'Data Mahasiswa'!$N$1:$N$14,0),2)</f>
        <v>Ekonomi</v>
      </c>
      <c r="G609" s="8" t="str" cm="1">
        <f t="array" ref="G609">INDEX('Data Mahasiswa'!$Q$2:$Q$14, MATCH(MID('Data Status Pendaftar'!B609,5,3), 'Data Mahasiswa'!$N$2:$N$14&amp;TEXT('Data Mahasiswa'!$P$2:$P$14,"0"), 0))</f>
        <v>Ekonomi Pembangunan</v>
      </c>
      <c r="H609" s="9">
        <f t="shared" ca="1" si="28"/>
        <v>2</v>
      </c>
      <c r="I609" s="10">
        <f>INDEX('Data Mahasiswa'!$A$1:$J$701, MATCH('Data Status Pendaftar'!B609, 'Data Mahasiswa'!$A$1:$A$701, 0), 10)</f>
        <v>2.9166666666666665</v>
      </c>
      <c r="J609" s="8" t="str" cm="1">
        <f t="array" ref="J609">INDEX('Data Mahasiswa'!B609:I609,MATCH(MIN(VLOOKUP('Data Mahasiswa'!B609:I609,'Data Mahasiswa'!$N$27:$O$36,2,0)),VLOOKUP('Data Mahasiswa'!B609:I609,'Data Mahasiswa'!$N$27:$O$36,2,0),0))</f>
        <v>C+</v>
      </c>
      <c r="K609" s="8" t="str">
        <f t="shared" si="29"/>
        <v>Eligible</v>
      </c>
    </row>
    <row r="610" spans="1:11" x14ac:dyDescent="0.3">
      <c r="A610" s="5">
        <v>609</v>
      </c>
      <c r="B610" s="5" t="s">
        <v>659</v>
      </c>
      <c r="C610" s="5" t="s">
        <v>1340</v>
      </c>
      <c r="D610" s="5" t="s">
        <v>780</v>
      </c>
      <c r="E610" s="6">
        <f t="shared" si="27"/>
        <v>2025</v>
      </c>
      <c r="F610" s="5" t="str">
        <f>INDEX('Data Mahasiswa'!$N$1:$Q$14, MATCH(MID('Data Status Pendaftar'!B610, 5,2), 'Data Mahasiswa'!$N$1:$N$14,0),2)</f>
        <v>Ekonomi</v>
      </c>
      <c r="G610" s="5" t="str" cm="1">
        <f t="array" ref="G610">INDEX('Data Mahasiswa'!$Q$2:$Q$14, MATCH(MID('Data Status Pendaftar'!B610,5,3), 'Data Mahasiswa'!$N$2:$N$14&amp;TEXT('Data Mahasiswa'!$P$2:$P$14,"0"), 0))</f>
        <v>Ekonomi Pembangunan</v>
      </c>
      <c r="H610" s="6">
        <f t="shared" ca="1" si="28"/>
        <v>2</v>
      </c>
      <c r="I610" s="7">
        <f>INDEX('Data Mahasiswa'!$A$1:$J$701, MATCH('Data Status Pendaftar'!B610, 'Data Mahasiswa'!$A$1:$A$701, 0), 10)</f>
        <v>2.6875</v>
      </c>
      <c r="J610" s="5" t="str" cm="1">
        <f t="array" ref="J610">INDEX('Data Mahasiswa'!B610:I610,MATCH(MIN(VLOOKUP('Data Mahasiswa'!B610:I610,'Data Mahasiswa'!$N$27:$O$36,2,0)),VLOOKUP('Data Mahasiswa'!B610:I610,'Data Mahasiswa'!$N$27:$O$36,2,0),0))</f>
        <v>D</v>
      </c>
      <c r="K610" s="5" t="str">
        <f t="shared" si="29"/>
        <v>Tidak Eligible</v>
      </c>
    </row>
    <row r="611" spans="1:11" x14ac:dyDescent="0.3">
      <c r="A611" s="8">
        <v>610</v>
      </c>
      <c r="B611" s="8" t="s">
        <v>660</v>
      </c>
      <c r="C611" s="8" t="s">
        <v>1341</v>
      </c>
      <c r="D611" s="8" t="s">
        <v>779</v>
      </c>
      <c r="E611" s="9">
        <f t="shared" si="27"/>
        <v>2025</v>
      </c>
      <c r="F611" s="8" t="str">
        <f>INDEX('Data Mahasiswa'!$N$1:$Q$14, MATCH(MID('Data Status Pendaftar'!B611, 5,2), 'Data Mahasiswa'!$N$1:$N$14,0),2)</f>
        <v>Ekonomi</v>
      </c>
      <c r="G611" s="8" t="str" cm="1">
        <f t="array" ref="G611">INDEX('Data Mahasiswa'!$Q$2:$Q$14, MATCH(MID('Data Status Pendaftar'!B611,5,3), 'Data Mahasiswa'!$N$2:$N$14&amp;TEXT('Data Mahasiswa'!$P$2:$P$14,"0"), 0))</f>
        <v>Ekonomi Pembangunan</v>
      </c>
      <c r="H611" s="9">
        <f t="shared" ca="1" si="28"/>
        <v>2</v>
      </c>
      <c r="I611" s="10">
        <f>INDEX('Data Mahasiswa'!$A$1:$J$701, MATCH('Data Status Pendaftar'!B611, 'Data Mahasiswa'!$A$1:$A$701, 0), 10)</f>
        <v>2.3541666666666665</v>
      </c>
      <c r="J611" s="8" t="str" cm="1">
        <f t="array" ref="J611">INDEX('Data Mahasiswa'!B611:I611,MATCH(MIN(VLOOKUP('Data Mahasiswa'!B611:I611,'Data Mahasiswa'!$N$27:$O$36,2,0)),VLOOKUP('Data Mahasiswa'!B611:I611,'Data Mahasiswa'!$N$27:$O$36,2,0),0))</f>
        <v>E</v>
      </c>
      <c r="K611" s="8" t="str">
        <f t="shared" si="29"/>
        <v>Tidak Eligible</v>
      </c>
    </row>
    <row r="612" spans="1:11" x14ac:dyDescent="0.3">
      <c r="A612" s="5">
        <v>611</v>
      </c>
      <c r="B612" s="5" t="s">
        <v>661</v>
      </c>
      <c r="C612" s="5" t="s">
        <v>1342</v>
      </c>
      <c r="D612" s="5" t="s">
        <v>779</v>
      </c>
      <c r="E612" s="6">
        <f t="shared" si="27"/>
        <v>2025</v>
      </c>
      <c r="F612" s="5" t="str">
        <f>INDEX('Data Mahasiswa'!$N$1:$Q$14, MATCH(MID('Data Status Pendaftar'!B612, 5,2), 'Data Mahasiswa'!$N$1:$N$14,0),2)</f>
        <v>Ekonomi</v>
      </c>
      <c r="G612" s="5" t="str" cm="1">
        <f t="array" ref="G612">INDEX('Data Mahasiswa'!$Q$2:$Q$14, MATCH(MID('Data Status Pendaftar'!B612,5,3), 'Data Mahasiswa'!$N$2:$N$14&amp;TEXT('Data Mahasiswa'!$P$2:$P$14,"0"), 0))</f>
        <v>Ekonomi Pembangunan</v>
      </c>
      <c r="H612" s="6">
        <f t="shared" ca="1" si="28"/>
        <v>2</v>
      </c>
      <c r="I612" s="7">
        <f>INDEX('Data Mahasiswa'!$A$1:$J$701, MATCH('Data Status Pendaftar'!B612, 'Data Mahasiswa'!$A$1:$A$701, 0), 10)</f>
        <v>3.1666666666666665</v>
      </c>
      <c r="J612" s="5" t="str" cm="1">
        <f t="array" ref="J612">INDEX('Data Mahasiswa'!B612:I612,MATCH(MIN(VLOOKUP('Data Mahasiswa'!B612:I612,'Data Mahasiswa'!$N$27:$O$36,2,0)),VLOOKUP('Data Mahasiswa'!B612:I612,'Data Mahasiswa'!$N$27:$O$36,2,0),0))</f>
        <v>C</v>
      </c>
      <c r="K612" s="5" t="str">
        <f t="shared" si="29"/>
        <v>Eligible</v>
      </c>
    </row>
    <row r="613" spans="1:11" x14ac:dyDescent="0.3">
      <c r="A613" s="8">
        <v>612</v>
      </c>
      <c r="B613" s="8" t="s">
        <v>662</v>
      </c>
      <c r="C613" s="8" t="s">
        <v>1343</v>
      </c>
      <c r="D613" s="8" t="s">
        <v>780</v>
      </c>
      <c r="E613" s="9">
        <f t="shared" si="27"/>
        <v>2025</v>
      </c>
      <c r="F613" s="8" t="str">
        <f>INDEX('Data Mahasiswa'!$N$1:$Q$14, MATCH(MID('Data Status Pendaftar'!B613, 5,2), 'Data Mahasiswa'!$N$1:$N$14,0),2)</f>
        <v>Ekonomi</v>
      </c>
      <c r="G613" s="8" t="str" cm="1">
        <f t="array" ref="G613">INDEX('Data Mahasiswa'!$Q$2:$Q$14, MATCH(MID('Data Status Pendaftar'!B613,5,3), 'Data Mahasiswa'!$N$2:$N$14&amp;TEXT('Data Mahasiswa'!$P$2:$P$14,"0"), 0))</f>
        <v>Ekonomi Pembangunan</v>
      </c>
      <c r="H613" s="9">
        <f t="shared" ca="1" si="28"/>
        <v>2</v>
      </c>
      <c r="I613" s="10">
        <f>INDEX('Data Mahasiswa'!$A$1:$J$701, MATCH('Data Status Pendaftar'!B613, 'Data Mahasiswa'!$A$1:$A$701, 0), 10)</f>
        <v>2.6041666666666665</v>
      </c>
      <c r="J613" s="8" t="str" cm="1">
        <f t="array" ref="J613">INDEX('Data Mahasiswa'!B613:I613,MATCH(MIN(VLOOKUP('Data Mahasiswa'!B613:I613,'Data Mahasiswa'!$N$27:$O$36,2,0)),VLOOKUP('Data Mahasiswa'!B613:I613,'Data Mahasiswa'!$N$27:$O$36,2,0),0))</f>
        <v>D</v>
      </c>
      <c r="K613" s="8" t="str">
        <f t="shared" si="29"/>
        <v>Tidak Eligible</v>
      </c>
    </row>
    <row r="614" spans="1:11" x14ac:dyDescent="0.3">
      <c r="A614" s="5">
        <v>613</v>
      </c>
      <c r="B614" s="5" t="s">
        <v>663</v>
      </c>
      <c r="C614" s="5" t="s">
        <v>1344</v>
      </c>
      <c r="D614" s="5" t="s">
        <v>780</v>
      </c>
      <c r="E614" s="6">
        <f t="shared" si="27"/>
        <v>2025</v>
      </c>
      <c r="F614" s="5" t="str">
        <f>INDEX('Data Mahasiswa'!$N$1:$Q$14, MATCH(MID('Data Status Pendaftar'!B614, 5,2), 'Data Mahasiswa'!$N$1:$N$14,0),2)</f>
        <v>Ekonomi</v>
      </c>
      <c r="G614" s="5" t="str" cm="1">
        <f t="array" ref="G614">INDEX('Data Mahasiswa'!$Q$2:$Q$14, MATCH(MID('Data Status Pendaftar'!B614,5,3), 'Data Mahasiswa'!$N$2:$N$14&amp;TEXT('Data Mahasiswa'!$P$2:$P$14,"0"), 0))</f>
        <v>Ekonomi Pembangunan</v>
      </c>
      <c r="H614" s="6">
        <f t="shared" ca="1" si="28"/>
        <v>2</v>
      </c>
      <c r="I614" s="7">
        <f>INDEX('Data Mahasiswa'!$A$1:$J$701, MATCH('Data Status Pendaftar'!B614, 'Data Mahasiswa'!$A$1:$A$701, 0), 10)</f>
        <v>3.0208333333333335</v>
      </c>
      <c r="J614" s="5" t="str" cm="1">
        <f t="array" ref="J614">INDEX('Data Mahasiswa'!B614:I614,MATCH(MIN(VLOOKUP('Data Mahasiswa'!B614:I614,'Data Mahasiswa'!$N$27:$O$36,2,0)),VLOOKUP('Data Mahasiswa'!B614:I614,'Data Mahasiswa'!$N$27:$O$36,2,0),0))</f>
        <v>D</v>
      </c>
      <c r="K614" s="5" t="str">
        <f t="shared" si="29"/>
        <v>Tidak Eligible</v>
      </c>
    </row>
    <row r="615" spans="1:11" x14ac:dyDescent="0.3">
      <c r="A615" s="8">
        <v>614</v>
      </c>
      <c r="B615" s="8" t="s">
        <v>664</v>
      </c>
      <c r="C615" s="8" t="s">
        <v>1345</v>
      </c>
      <c r="D615" s="8" t="s">
        <v>779</v>
      </c>
      <c r="E615" s="9">
        <f t="shared" si="27"/>
        <v>2025</v>
      </c>
      <c r="F615" s="8" t="str">
        <f>INDEX('Data Mahasiswa'!$N$1:$Q$14, MATCH(MID('Data Status Pendaftar'!B615, 5,2), 'Data Mahasiswa'!$N$1:$N$14,0),2)</f>
        <v>Ekonomi</v>
      </c>
      <c r="G615" s="8" t="str" cm="1">
        <f t="array" ref="G615">INDEX('Data Mahasiswa'!$Q$2:$Q$14, MATCH(MID('Data Status Pendaftar'!B615,5,3), 'Data Mahasiswa'!$N$2:$N$14&amp;TEXT('Data Mahasiswa'!$P$2:$P$14,"0"), 0))</f>
        <v>Ekonomi Pembangunan</v>
      </c>
      <c r="H615" s="9">
        <f t="shared" ca="1" si="28"/>
        <v>2</v>
      </c>
      <c r="I615" s="10">
        <f>INDEX('Data Mahasiswa'!$A$1:$J$701, MATCH('Data Status Pendaftar'!B615, 'Data Mahasiswa'!$A$1:$A$701, 0), 10)</f>
        <v>3.2083333333333335</v>
      </c>
      <c r="J615" s="8" t="str" cm="1">
        <f t="array" ref="J615">INDEX('Data Mahasiswa'!B615:I615,MATCH(MIN(VLOOKUP('Data Mahasiswa'!B615:I615,'Data Mahasiswa'!$N$27:$O$36,2,0)),VLOOKUP('Data Mahasiswa'!B615:I615,'Data Mahasiswa'!$N$27:$O$36,2,0),0))</f>
        <v>B-</v>
      </c>
      <c r="K615" s="8" t="str">
        <f t="shared" si="29"/>
        <v>Eligible</v>
      </c>
    </row>
    <row r="616" spans="1:11" x14ac:dyDescent="0.3">
      <c r="A616" s="5">
        <v>615</v>
      </c>
      <c r="B616" s="5" t="s">
        <v>665</v>
      </c>
      <c r="C616" s="5" t="s">
        <v>1136</v>
      </c>
      <c r="D616" s="5" t="s">
        <v>780</v>
      </c>
      <c r="E616" s="6">
        <f t="shared" si="27"/>
        <v>2025</v>
      </c>
      <c r="F616" s="5" t="str">
        <f>INDEX('Data Mahasiswa'!$N$1:$Q$14, MATCH(MID('Data Status Pendaftar'!B616, 5,2), 'Data Mahasiswa'!$N$1:$N$14,0),2)</f>
        <v>Ekonomi</v>
      </c>
      <c r="G616" s="5" t="str" cm="1">
        <f t="array" ref="G616">INDEX('Data Mahasiswa'!$Q$2:$Q$14, MATCH(MID('Data Status Pendaftar'!B616,5,3), 'Data Mahasiswa'!$N$2:$N$14&amp;TEXT('Data Mahasiswa'!$P$2:$P$14,"0"), 0))</f>
        <v>Ekonomi Pembangunan</v>
      </c>
      <c r="H616" s="6">
        <f t="shared" ca="1" si="28"/>
        <v>2</v>
      </c>
      <c r="I616" s="7">
        <f>INDEX('Data Mahasiswa'!$A$1:$J$701, MATCH('Data Status Pendaftar'!B616, 'Data Mahasiswa'!$A$1:$A$701, 0), 10)</f>
        <v>2.6458333333333335</v>
      </c>
      <c r="J616" s="5" t="str" cm="1">
        <f t="array" ref="J616">INDEX('Data Mahasiswa'!B616:I616,MATCH(MIN(VLOOKUP('Data Mahasiswa'!B616:I616,'Data Mahasiswa'!$N$27:$O$36,2,0)),VLOOKUP('Data Mahasiswa'!B616:I616,'Data Mahasiswa'!$N$27:$O$36,2,0),0))</f>
        <v>E</v>
      </c>
      <c r="K616" s="5" t="str">
        <f t="shared" si="29"/>
        <v>Tidak Eligible</v>
      </c>
    </row>
    <row r="617" spans="1:11" x14ac:dyDescent="0.3">
      <c r="A617" s="8">
        <v>616</v>
      </c>
      <c r="B617" s="8" t="s">
        <v>666</v>
      </c>
      <c r="C617" s="8" t="s">
        <v>1346</v>
      </c>
      <c r="D617" s="8" t="s">
        <v>780</v>
      </c>
      <c r="E617" s="9">
        <f t="shared" si="27"/>
        <v>2025</v>
      </c>
      <c r="F617" s="8" t="str">
        <f>INDEX('Data Mahasiswa'!$N$1:$Q$14, MATCH(MID('Data Status Pendaftar'!B617, 5,2), 'Data Mahasiswa'!$N$1:$N$14,0),2)</f>
        <v>Ekonomi</v>
      </c>
      <c r="G617" s="8" t="str" cm="1">
        <f t="array" ref="G617">INDEX('Data Mahasiswa'!$Q$2:$Q$14, MATCH(MID('Data Status Pendaftar'!B617,5,3), 'Data Mahasiswa'!$N$2:$N$14&amp;TEXT('Data Mahasiswa'!$P$2:$P$14,"0"), 0))</f>
        <v>Ekonomi Pembangunan</v>
      </c>
      <c r="H617" s="9">
        <f t="shared" ca="1" si="28"/>
        <v>2</v>
      </c>
      <c r="I617" s="10">
        <f>INDEX('Data Mahasiswa'!$A$1:$J$701, MATCH('Data Status Pendaftar'!B617, 'Data Mahasiswa'!$A$1:$A$701, 0), 10)</f>
        <v>2.75</v>
      </c>
      <c r="J617" s="8" t="str" cm="1">
        <f t="array" ref="J617">INDEX('Data Mahasiswa'!B617:I617,MATCH(MIN(VLOOKUP('Data Mahasiswa'!B617:I617,'Data Mahasiswa'!$N$27:$O$36,2,0)),VLOOKUP('Data Mahasiswa'!B617:I617,'Data Mahasiswa'!$N$27:$O$36,2,0),0))</f>
        <v>D</v>
      </c>
      <c r="K617" s="8" t="str">
        <f t="shared" si="29"/>
        <v>Tidak Eligible</v>
      </c>
    </row>
    <row r="618" spans="1:11" x14ac:dyDescent="0.3">
      <c r="A618" s="5">
        <v>617</v>
      </c>
      <c r="B618" s="5" t="s">
        <v>667</v>
      </c>
      <c r="C618" s="5" t="s">
        <v>1347</v>
      </c>
      <c r="D618" s="5" t="s">
        <v>779</v>
      </c>
      <c r="E618" s="6">
        <f t="shared" si="27"/>
        <v>2025</v>
      </c>
      <c r="F618" s="5" t="str">
        <f>INDEX('Data Mahasiswa'!$N$1:$Q$14, MATCH(MID('Data Status Pendaftar'!B618, 5,2), 'Data Mahasiswa'!$N$1:$N$14,0),2)</f>
        <v>Ekonomi</v>
      </c>
      <c r="G618" s="5" t="str" cm="1">
        <f t="array" ref="G618">INDEX('Data Mahasiswa'!$Q$2:$Q$14, MATCH(MID('Data Status Pendaftar'!B618,5,3), 'Data Mahasiswa'!$N$2:$N$14&amp;TEXT('Data Mahasiswa'!$P$2:$P$14,"0"), 0))</f>
        <v>Ekonomi Pembangunan</v>
      </c>
      <c r="H618" s="6">
        <f t="shared" ca="1" si="28"/>
        <v>2</v>
      </c>
      <c r="I618" s="7">
        <f>INDEX('Data Mahasiswa'!$A$1:$J$701, MATCH('Data Status Pendaftar'!B618, 'Data Mahasiswa'!$A$1:$A$701, 0), 10)</f>
        <v>3.1145833333333335</v>
      </c>
      <c r="J618" s="5" t="str" cm="1">
        <f t="array" ref="J618">INDEX('Data Mahasiswa'!B618:I618,MATCH(MIN(VLOOKUP('Data Mahasiswa'!B618:I618,'Data Mahasiswa'!$N$27:$O$36,2,0)),VLOOKUP('Data Mahasiswa'!B618:I618,'Data Mahasiswa'!$N$27:$O$36,2,0),0))</f>
        <v>E</v>
      </c>
      <c r="K618" s="5" t="str">
        <f t="shared" si="29"/>
        <v>Tidak Eligible</v>
      </c>
    </row>
    <row r="619" spans="1:11" x14ac:dyDescent="0.3">
      <c r="A619" s="8">
        <v>618</v>
      </c>
      <c r="B619" s="8" t="s">
        <v>668</v>
      </c>
      <c r="C619" s="8" t="s">
        <v>1348</v>
      </c>
      <c r="D619" s="8" t="s">
        <v>779</v>
      </c>
      <c r="E619" s="9">
        <f t="shared" si="27"/>
        <v>2025</v>
      </c>
      <c r="F619" s="8" t="str">
        <f>INDEX('Data Mahasiswa'!$N$1:$Q$14, MATCH(MID('Data Status Pendaftar'!B619, 5,2), 'Data Mahasiswa'!$N$1:$N$14,0),2)</f>
        <v>Ekonomi</v>
      </c>
      <c r="G619" s="8" t="str" cm="1">
        <f t="array" ref="G619">INDEX('Data Mahasiswa'!$Q$2:$Q$14, MATCH(MID('Data Status Pendaftar'!B619,5,3), 'Data Mahasiswa'!$N$2:$N$14&amp;TEXT('Data Mahasiswa'!$P$2:$P$14,"0"), 0))</f>
        <v>Ekonomi Pembangunan</v>
      </c>
      <c r="H619" s="9">
        <f t="shared" ca="1" si="28"/>
        <v>2</v>
      </c>
      <c r="I619" s="10">
        <f>INDEX('Data Mahasiswa'!$A$1:$J$701, MATCH('Data Status Pendaftar'!B619, 'Data Mahasiswa'!$A$1:$A$701, 0), 10)</f>
        <v>3.0833333333333335</v>
      </c>
      <c r="J619" s="8" t="str" cm="1">
        <f t="array" ref="J619">INDEX('Data Mahasiswa'!B619:I619,MATCH(MIN(VLOOKUP('Data Mahasiswa'!B619:I619,'Data Mahasiswa'!$N$27:$O$36,2,0)),VLOOKUP('Data Mahasiswa'!B619:I619,'Data Mahasiswa'!$N$27:$O$36,2,0),0))</f>
        <v>C</v>
      </c>
      <c r="K619" s="8" t="str">
        <f t="shared" si="29"/>
        <v>Eligible</v>
      </c>
    </row>
    <row r="620" spans="1:11" x14ac:dyDescent="0.3">
      <c r="A620" s="5">
        <v>619</v>
      </c>
      <c r="B620" s="5" t="s">
        <v>669</v>
      </c>
      <c r="C620" s="5" t="s">
        <v>1349</v>
      </c>
      <c r="D620" s="5" t="s">
        <v>780</v>
      </c>
      <c r="E620" s="6">
        <f t="shared" si="27"/>
        <v>2025</v>
      </c>
      <c r="F620" s="5" t="str">
        <f>INDEX('Data Mahasiswa'!$N$1:$Q$14, MATCH(MID('Data Status Pendaftar'!B620, 5,2), 'Data Mahasiswa'!$N$1:$N$14,0),2)</f>
        <v>Ekonomi</v>
      </c>
      <c r="G620" s="5" t="str" cm="1">
        <f t="array" ref="G620">INDEX('Data Mahasiswa'!$Q$2:$Q$14, MATCH(MID('Data Status Pendaftar'!B620,5,3), 'Data Mahasiswa'!$N$2:$N$14&amp;TEXT('Data Mahasiswa'!$P$2:$P$14,"0"), 0))</f>
        <v>Ekonomi Pembangunan</v>
      </c>
      <c r="H620" s="6">
        <f t="shared" ca="1" si="28"/>
        <v>2</v>
      </c>
      <c r="I620" s="7">
        <f>INDEX('Data Mahasiswa'!$A$1:$J$701, MATCH('Data Status Pendaftar'!B620, 'Data Mahasiswa'!$A$1:$A$701, 0), 10)</f>
        <v>2.6875</v>
      </c>
      <c r="J620" s="5" t="str" cm="1">
        <f t="array" ref="J620">INDEX('Data Mahasiswa'!B620:I620,MATCH(MIN(VLOOKUP('Data Mahasiswa'!B620:I620,'Data Mahasiswa'!$N$27:$O$36,2,0)),VLOOKUP('Data Mahasiswa'!B620:I620,'Data Mahasiswa'!$N$27:$O$36,2,0),0))</f>
        <v>D</v>
      </c>
      <c r="K620" s="5" t="str">
        <f t="shared" si="29"/>
        <v>Tidak Eligible</v>
      </c>
    </row>
    <row r="621" spans="1:11" x14ac:dyDescent="0.3">
      <c r="A621" s="8">
        <v>620</v>
      </c>
      <c r="B621" s="8" t="s">
        <v>670</v>
      </c>
      <c r="C621" s="8" t="s">
        <v>1350</v>
      </c>
      <c r="D621" s="8" t="s">
        <v>780</v>
      </c>
      <c r="E621" s="9">
        <f t="shared" si="27"/>
        <v>2025</v>
      </c>
      <c r="F621" s="8" t="str">
        <f>INDEX('Data Mahasiswa'!$N$1:$Q$14, MATCH(MID('Data Status Pendaftar'!B621, 5,2), 'Data Mahasiswa'!$N$1:$N$14,0),2)</f>
        <v>Ekonomi</v>
      </c>
      <c r="G621" s="8" t="str" cm="1">
        <f t="array" ref="G621">INDEX('Data Mahasiswa'!$Q$2:$Q$14, MATCH(MID('Data Status Pendaftar'!B621,5,3), 'Data Mahasiswa'!$N$2:$N$14&amp;TEXT('Data Mahasiswa'!$P$2:$P$14,"0"), 0))</f>
        <v>Ekonomi Pembangunan</v>
      </c>
      <c r="H621" s="9">
        <f t="shared" ca="1" si="28"/>
        <v>2</v>
      </c>
      <c r="I621" s="10">
        <f>INDEX('Data Mahasiswa'!$A$1:$J$701, MATCH('Data Status Pendaftar'!B621, 'Data Mahasiswa'!$A$1:$A$701, 0), 10)</f>
        <v>3.625</v>
      </c>
      <c r="J621" s="8" t="str" cm="1">
        <f t="array" ref="J621">INDEX('Data Mahasiswa'!B621:I621,MATCH(MIN(VLOOKUP('Data Mahasiswa'!B621:I621,'Data Mahasiswa'!$N$27:$O$36,2,0)),VLOOKUP('Data Mahasiswa'!B621:I621,'Data Mahasiswa'!$N$27:$O$36,2,0),0))</f>
        <v>C+</v>
      </c>
      <c r="K621" s="8" t="str">
        <f t="shared" si="29"/>
        <v>Eligible</v>
      </c>
    </row>
    <row r="622" spans="1:11" x14ac:dyDescent="0.3">
      <c r="A622" s="5">
        <v>621</v>
      </c>
      <c r="B622" s="5" t="s">
        <v>671</v>
      </c>
      <c r="C622" s="5" t="s">
        <v>1351</v>
      </c>
      <c r="D622" s="5" t="s">
        <v>780</v>
      </c>
      <c r="E622" s="6">
        <f t="shared" si="27"/>
        <v>2025</v>
      </c>
      <c r="F622" s="5" t="str">
        <f>INDEX('Data Mahasiswa'!$N$1:$Q$14, MATCH(MID('Data Status Pendaftar'!B622, 5,2), 'Data Mahasiswa'!$N$1:$N$14,0),2)</f>
        <v>Ekonomi</v>
      </c>
      <c r="G622" s="5" t="str" cm="1">
        <f t="array" ref="G622">INDEX('Data Mahasiswa'!$Q$2:$Q$14, MATCH(MID('Data Status Pendaftar'!B622,5,3), 'Data Mahasiswa'!$N$2:$N$14&amp;TEXT('Data Mahasiswa'!$P$2:$P$14,"0"), 0))</f>
        <v>Ekonomi Pembangunan</v>
      </c>
      <c r="H622" s="6">
        <f t="shared" ca="1" si="28"/>
        <v>2</v>
      </c>
      <c r="I622" s="7">
        <f>INDEX('Data Mahasiswa'!$A$1:$J$701, MATCH('Data Status Pendaftar'!B622, 'Data Mahasiswa'!$A$1:$A$701, 0), 10)</f>
        <v>2.7395833333333335</v>
      </c>
      <c r="J622" s="5" t="str" cm="1">
        <f t="array" ref="J622">INDEX('Data Mahasiswa'!B622:I622,MATCH(MIN(VLOOKUP('Data Mahasiswa'!B622:I622,'Data Mahasiswa'!$N$27:$O$36,2,0)),VLOOKUP('Data Mahasiswa'!B622:I622,'Data Mahasiswa'!$N$27:$O$36,2,0),0))</f>
        <v>C</v>
      </c>
      <c r="K622" s="5" t="str">
        <f t="shared" si="29"/>
        <v>Tidak Eligible</v>
      </c>
    </row>
    <row r="623" spans="1:11" x14ac:dyDescent="0.3">
      <c r="A623" s="8">
        <v>622</v>
      </c>
      <c r="B623" s="8" t="s">
        <v>672</v>
      </c>
      <c r="C623" s="8" t="s">
        <v>1352</v>
      </c>
      <c r="D623" s="8" t="s">
        <v>779</v>
      </c>
      <c r="E623" s="9">
        <f t="shared" si="27"/>
        <v>2025</v>
      </c>
      <c r="F623" s="8" t="str">
        <f>INDEX('Data Mahasiswa'!$N$1:$Q$14, MATCH(MID('Data Status Pendaftar'!B623, 5,2), 'Data Mahasiswa'!$N$1:$N$14,0),2)</f>
        <v>Ekonomi</v>
      </c>
      <c r="G623" s="8" t="str" cm="1">
        <f t="array" ref="G623">INDEX('Data Mahasiswa'!$Q$2:$Q$14, MATCH(MID('Data Status Pendaftar'!B623,5,3), 'Data Mahasiswa'!$N$2:$N$14&amp;TEXT('Data Mahasiswa'!$P$2:$P$14,"0"), 0))</f>
        <v>Ekonomi Pembangunan</v>
      </c>
      <c r="H623" s="9">
        <f t="shared" ca="1" si="28"/>
        <v>2</v>
      </c>
      <c r="I623" s="10">
        <f>INDEX('Data Mahasiswa'!$A$1:$J$701, MATCH('Data Status Pendaftar'!B623, 'Data Mahasiswa'!$A$1:$A$701, 0), 10)</f>
        <v>2.3125</v>
      </c>
      <c r="J623" s="8" t="str" cm="1">
        <f t="array" ref="J623">INDEX('Data Mahasiswa'!B623:I623,MATCH(MIN(VLOOKUP('Data Mahasiswa'!B623:I623,'Data Mahasiswa'!$N$27:$O$36,2,0)),VLOOKUP('Data Mahasiswa'!B623:I623,'Data Mahasiswa'!$N$27:$O$36,2,0),0))</f>
        <v>E</v>
      </c>
      <c r="K623" s="8" t="str">
        <f t="shared" si="29"/>
        <v>Tidak Eligible</v>
      </c>
    </row>
    <row r="624" spans="1:11" x14ac:dyDescent="0.3">
      <c r="A624" s="5">
        <v>623</v>
      </c>
      <c r="B624" s="5" t="s">
        <v>673</v>
      </c>
      <c r="C624" s="5" t="s">
        <v>1353</v>
      </c>
      <c r="D624" s="5" t="s">
        <v>780</v>
      </c>
      <c r="E624" s="6">
        <f t="shared" si="27"/>
        <v>2025</v>
      </c>
      <c r="F624" s="5" t="str">
        <f>INDEX('Data Mahasiswa'!$N$1:$Q$14, MATCH(MID('Data Status Pendaftar'!B624, 5,2), 'Data Mahasiswa'!$N$1:$N$14,0),2)</f>
        <v>Ekonomi</v>
      </c>
      <c r="G624" s="5" t="str" cm="1">
        <f t="array" ref="G624">INDEX('Data Mahasiswa'!$Q$2:$Q$14, MATCH(MID('Data Status Pendaftar'!B624,5,3), 'Data Mahasiswa'!$N$2:$N$14&amp;TEXT('Data Mahasiswa'!$P$2:$P$14,"0"), 0))</f>
        <v>Ekonomi Pembangunan</v>
      </c>
      <c r="H624" s="6">
        <f t="shared" ca="1" si="28"/>
        <v>2</v>
      </c>
      <c r="I624" s="7">
        <f>INDEX('Data Mahasiswa'!$A$1:$J$701, MATCH('Data Status Pendaftar'!B624, 'Data Mahasiswa'!$A$1:$A$701, 0), 10)</f>
        <v>2.4895833333333335</v>
      </c>
      <c r="J624" s="5" t="str" cm="1">
        <f t="array" ref="J624">INDEX('Data Mahasiswa'!B624:I624,MATCH(MIN(VLOOKUP('Data Mahasiswa'!B624:I624,'Data Mahasiswa'!$N$27:$O$36,2,0)),VLOOKUP('Data Mahasiswa'!B624:I624,'Data Mahasiswa'!$N$27:$O$36,2,0),0))</f>
        <v>D</v>
      </c>
      <c r="K624" s="5" t="str">
        <f t="shared" si="29"/>
        <v>Tidak Eligible</v>
      </c>
    </row>
    <row r="625" spans="1:11" x14ac:dyDescent="0.3">
      <c r="A625" s="8">
        <v>624</v>
      </c>
      <c r="B625" s="8" t="s">
        <v>674</v>
      </c>
      <c r="C625" s="8" t="s">
        <v>1354</v>
      </c>
      <c r="D625" s="8" t="s">
        <v>779</v>
      </c>
      <c r="E625" s="9">
        <f t="shared" si="27"/>
        <v>2025</v>
      </c>
      <c r="F625" s="8" t="str">
        <f>INDEX('Data Mahasiswa'!$N$1:$Q$14, MATCH(MID('Data Status Pendaftar'!B625, 5,2), 'Data Mahasiswa'!$N$1:$N$14,0),2)</f>
        <v>Ekonomi</v>
      </c>
      <c r="G625" s="8" t="str" cm="1">
        <f t="array" ref="G625">INDEX('Data Mahasiswa'!$Q$2:$Q$14, MATCH(MID('Data Status Pendaftar'!B625,5,3), 'Data Mahasiswa'!$N$2:$N$14&amp;TEXT('Data Mahasiswa'!$P$2:$P$14,"0"), 0))</f>
        <v>Ekonomi Pembangunan</v>
      </c>
      <c r="H625" s="9">
        <f t="shared" ca="1" si="28"/>
        <v>2</v>
      </c>
      <c r="I625" s="10">
        <f>INDEX('Data Mahasiswa'!$A$1:$J$701, MATCH('Data Status Pendaftar'!B625, 'Data Mahasiswa'!$A$1:$A$701, 0), 10)</f>
        <v>3.2916666666666665</v>
      </c>
      <c r="J625" s="8" t="str" cm="1">
        <f t="array" ref="J625">INDEX('Data Mahasiswa'!B625:I625,MATCH(MIN(VLOOKUP('Data Mahasiswa'!B625:I625,'Data Mahasiswa'!$N$27:$O$36,2,0)),VLOOKUP('Data Mahasiswa'!B625:I625,'Data Mahasiswa'!$N$27:$O$36,2,0),0))</f>
        <v>B-</v>
      </c>
      <c r="K625" s="8" t="str">
        <f t="shared" si="29"/>
        <v>Eligible</v>
      </c>
    </row>
    <row r="626" spans="1:11" x14ac:dyDescent="0.3">
      <c r="A626" s="5">
        <v>625</v>
      </c>
      <c r="B626" s="5" t="s">
        <v>675</v>
      </c>
      <c r="C626" s="5" t="s">
        <v>1355</v>
      </c>
      <c r="D626" s="5" t="s">
        <v>780</v>
      </c>
      <c r="E626" s="6">
        <f t="shared" si="27"/>
        <v>2025</v>
      </c>
      <c r="F626" s="5" t="str">
        <f>INDEX('Data Mahasiswa'!$N$1:$Q$14, MATCH(MID('Data Status Pendaftar'!B626, 5,2), 'Data Mahasiswa'!$N$1:$N$14,0),2)</f>
        <v>Pertanian</v>
      </c>
      <c r="G626" s="5" t="str" cm="1">
        <f t="array" ref="G626">INDEX('Data Mahasiswa'!$Q$2:$Q$14, MATCH(MID('Data Status Pendaftar'!B626,5,3), 'Data Mahasiswa'!$N$2:$N$14&amp;TEXT('Data Mahasiswa'!$P$2:$P$14,"0"), 0))</f>
        <v>Agroteknologi</v>
      </c>
      <c r="H626" s="6">
        <f t="shared" ca="1" si="28"/>
        <v>2</v>
      </c>
      <c r="I626" s="7">
        <f>INDEX('Data Mahasiswa'!$A$1:$J$701, MATCH('Data Status Pendaftar'!B626, 'Data Mahasiswa'!$A$1:$A$701, 0), 10)</f>
        <v>3.1666666666666665</v>
      </c>
      <c r="J626" s="5" t="str" cm="1">
        <f t="array" ref="J626">INDEX('Data Mahasiswa'!B626:I626,MATCH(MIN(VLOOKUP('Data Mahasiswa'!B626:I626,'Data Mahasiswa'!$N$27:$O$36,2,0)),VLOOKUP('Data Mahasiswa'!B626:I626,'Data Mahasiswa'!$N$27:$O$36,2,0),0))</f>
        <v>C</v>
      </c>
      <c r="K626" s="5" t="str">
        <f t="shared" si="29"/>
        <v>Eligible</v>
      </c>
    </row>
    <row r="627" spans="1:11" x14ac:dyDescent="0.3">
      <c r="A627" s="8">
        <v>626</v>
      </c>
      <c r="B627" s="8" t="s">
        <v>676</v>
      </c>
      <c r="C627" s="8" t="s">
        <v>1356</v>
      </c>
      <c r="D627" s="8" t="s">
        <v>779</v>
      </c>
      <c r="E627" s="9">
        <f t="shared" si="27"/>
        <v>2025</v>
      </c>
      <c r="F627" s="8" t="str">
        <f>INDEX('Data Mahasiswa'!$N$1:$Q$14, MATCH(MID('Data Status Pendaftar'!B627, 5,2), 'Data Mahasiswa'!$N$1:$N$14,0),2)</f>
        <v>Pertanian</v>
      </c>
      <c r="G627" s="8" t="str" cm="1">
        <f t="array" ref="G627">INDEX('Data Mahasiswa'!$Q$2:$Q$14, MATCH(MID('Data Status Pendaftar'!B627,5,3), 'Data Mahasiswa'!$N$2:$N$14&amp;TEXT('Data Mahasiswa'!$P$2:$P$14,"0"), 0))</f>
        <v>Agroteknologi</v>
      </c>
      <c r="H627" s="9">
        <f t="shared" ca="1" si="28"/>
        <v>2</v>
      </c>
      <c r="I627" s="10">
        <f>INDEX('Data Mahasiswa'!$A$1:$J$701, MATCH('Data Status Pendaftar'!B627, 'Data Mahasiswa'!$A$1:$A$701, 0), 10)</f>
        <v>2.2083333333333335</v>
      </c>
      <c r="J627" s="8" t="str" cm="1">
        <f t="array" ref="J627">INDEX('Data Mahasiswa'!B627:I627,MATCH(MIN(VLOOKUP('Data Mahasiswa'!B627:I627,'Data Mahasiswa'!$N$27:$O$36,2,0)),VLOOKUP('Data Mahasiswa'!B627:I627,'Data Mahasiswa'!$N$27:$O$36,2,0),0))</f>
        <v>E</v>
      </c>
      <c r="K627" s="8" t="str">
        <f t="shared" si="29"/>
        <v>Tidak Eligible</v>
      </c>
    </row>
    <row r="628" spans="1:11" x14ac:dyDescent="0.3">
      <c r="A628" s="5">
        <v>627</v>
      </c>
      <c r="B628" s="5" t="s">
        <v>677</v>
      </c>
      <c r="C628" s="5" t="s">
        <v>1357</v>
      </c>
      <c r="D628" s="5" t="s">
        <v>779</v>
      </c>
      <c r="E628" s="6">
        <f t="shared" si="27"/>
        <v>2025</v>
      </c>
      <c r="F628" s="5" t="str">
        <f>INDEX('Data Mahasiswa'!$N$1:$Q$14, MATCH(MID('Data Status Pendaftar'!B628, 5,2), 'Data Mahasiswa'!$N$1:$N$14,0),2)</f>
        <v>Pertanian</v>
      </c>
      <c r="G628" s="5" t="str" cm="1">
        <f t="array" ref="G628">INDEX('Data Mahasiswa'!$Q$2:$Q$14, MATCH(MID('Data Status Pendaftar'!B628,5,3), 'Data Mahasiswa'!$N$2:$N$14&amp;TEXT('Data Mahasiswa'!$P$2:$P$14,"0"), 0))</f>
        <v>Agroteknologi</v>
      </c>
      <c r="H628" s="6">
        <f t="shared" ca="1" si="28"/>
        <v>2</v>
      </c>
      <c r="I628" s="7">
        <f>INDEX('Data Mahasiswa'!$A$1:$J$701, MATCH('Data Status Pendaftar'!B628, 'Data Mahasiswa'!$A$1:$A$701, 0), 10)</f>
        <v>3.1770833333333335</v>
      </c>
      <c r="J628" s="5" t="str" cm="1">
        <f t="array" ref="J628">INDEX('Data Mahasiswa'!B628:I628,MATCH(MIN(VLOOKUP('Data Mahasiswa'!B628:I628,'Data Mahasiswa'!$N$27:$O$36,2,0)),VLOOKUP('Data Mahasiswa'!B628:I628,'Data Mahasiswa'!$N$27:$O$36,2,0),0))</f>
        <v>D</v>
      </c>
      <c r="K628" s="5" t="str">
        <f t="shared" si="29"/>
        <v>Tidak Eligible</v>
      </c>
    </row>
    <row r="629" spans="1:11" x14ac:dyDescent="0.3">
      <c r="A629" s="8">
        <v>628</v>
      </c>
      <c r="B629" s="8" t="s">
        <v>678</v>
      </c>
      <c r="C629" s="8" t="s">
        <v>1358</v>
      </c>
      <c r="D629" s="8" t="s">
        <v>780</v>
      </c>
      <c r="E629" s="9">
        <f t="shared" si="27"/>
        <v>2025</v>
      </c>
      <c r="F629" s="8" t="str">
        <f>INDEX('Data Mahasiswa'!$N$1:$Q$14, MATCH(MID('Data Status Pendaftar'!B629, 5,2), 'Data Mahasiswa'!$N$1:$N$14,0),2)</f>
        <v>Pertanian</v>
      </c>
      <c r="G629" s="8" t="str" cm="1">
        <f t="array" ref="G629">INDEX('Data Mahasiswa'!$Q$2:$Q$14, MATCH(MID('Data Status Pendaftar'!B629,5,3), 'Data Mahasiswa'!$N$2:$N$14&amp;TEXT('Data Mahasiswa'!$P$2:$P$14,"0"), 0))</f>
        <v>Agroteknologi</v>
      </c>
      <c r="H629" s="9">
        <f t="shared" ca="1" si="28"/>
        <v>2</v>
      </c>
      <c r="I629" s="10">
        <f>INDEX('Data Mahasiswa'!$A$1:$J$701, MATCH('Data Status Pendaftar'!B629, 'Data Mahasiswa'!$A$1:$A$701, 0), 10)</f>
        <v>2.6875</v>
      </c>
      <c r="J629" s="8" t="str" cm="1">
        <f t="array" ref="J629">INDEX('Data Mahasiswa'!B629:I629,MATCH(MIN(VLOOKUP('Data Mahasiswa'!B629:I629,'Data Mahasiswa'!$N$27:$O$36,2,0)),VLOOKUP('Data Mahasiswa'!B629:I629,'Data Mahasiswa'!$N$27:$O$36,2,0),0))</f>
        <v>D</v>
      </c>
      <c r="K629" s="8" t="str">
        <f t="shared" si="29"/>
        <v>Tidak Eligible</v>
      </c>
    </row>
    <row r="630" spans="1:11" x14ac:dyDescent="0.3">
      <c r="A630" s="5">
        <v>629</v>
      </c>
      <c r="B630" s="5" t="s">
        <v>679</v>
      </c>
      <c r="C630" s="5" t="s">
        <v>771</v>
      </c>
      <c r="D630" s="5" t="s">
        <v>780</v>
      </c>
      <c r="E630" s="6">
        <f t="shared" si="27"/>
        <v>2025</v>
      </c>
      <c r="F630" s="5" t="str">
        <f>INDEX('Data Mahasiswa'!$N$1:$Q$14, MATCH(MID('Data Status Pendaftar'!B630, 5,2), 'Data Mahasiswa'!$N$1:$N$14,0),2)</f>
        <v>Pertanian</v>
      </c>
      <c r="G630" s="5" t="str" cm="1">
        <f t="array" ref="G630">INDEX('Data Mahasiswa'!$Q$2:$Q$14, MATCH(MID('Data Status Pendaftar'!B630,5,3), 'Data Mahasiswa'!$N$2:$N$14&amp;TEXT('Data Mahasiswa'!$P$2:$P$14,"0"), 0))</f>
        <v>Agroteknologi</v>
      </c>
      <c r="H630" s="6">
        <f t="shared" ca="1" si="28"/>
        <v>2</v>
      </c>
      <c r="I630" s="7">
        <f>INDEX('Data Mahasiswa'!$A$1:$J$701, MATCH('Data Status Pendaftar'!B630, 'Data Mahasiswa'!$A$1:$A$701, 0), 10)</f>
        <v>2.7291666666666665</v>
      </c>
      <c r="J630" s="5" t="str" cm="1">
        <f t="array" ref="J630">INDEX('Data Mahasiswa'!B630:I630,MATCH(MIN(VLOOKUP('Data Mahasiswa'!B630:I630,'Data Mahasiswa'!$N$27:$O$36,2,0)),VLOOKUP('Data Mahasiswa'!B630:I630,'Data Mahasiswa'!$N$27:$O$36,2,0),0))</f>
        <v>E</v>
      </c>
      <c r="K630" s="5" t="str">
        <f t="shared" si="29"/>
        <v>Tidak Eligible</v>
      </c>
    </row>
    <row r="631" spans="1:11" x14ac:dyDescent="0.3">
      <c r="A631" s="8">
        <v>630</v>
      </c>
      <c r="B631" s="8" t="s">
        <v>680</v>
      </c>
      <c r="C631" s="8" t="s">
        <v>794</v>
      </c>
      <c r="D631" s="8" t="s">
        <v>779</v>
      </c>
      <c r="E631" s="9">
        <f t="shared" si="27"/>
        <v>2025</v>
      </c>
      <c r="F631" s="8" t="str">
        <f>INDEX('Data Mahasiswa'!$N$1:$Q$14, MATCH(MID('Data Status Pendaftar'!B631, 5,2), 'Data Mahasiswa'!$N$1:$N$14,0),2)</f>
        <v>Pertanian</v>
      </c>
      <c r="G631" s="8" t="str" cm="1">
        <f t="array" ref="G631">INDEX('Data Mahasiswa'!$Q$2:$Q$14, MATCH(MID('Data Status Pendaftar'!B631,5,3), 'Data Mahasiswa'!$N$2:$N$14&amp;TEXT('Data Mahasiswa'!$P$2:$P$14,"0"), 0))</f>
        <v>Agroteknologi</v>
      </c>
      <c r="H631" s="9">
        <f t="shared" ca="1" si="28"/>
        <v>2</v>
      </c>
      <c r="I631" s="10">
        <f>INDEX('Data Mahasiswa'!$A$1:$J$701, MATCH('Data Status Pendaftar'!B631, 'Data Mahasiswa'!$A$1:$A$701, 0), 10)</f>
        <v>2.5729166666666665</v>
      </c>
      <c r="J631" s="8" t="str" cm="1">
        <f t="array" ref="J631">INDEX('Data Mahasiswa'!B631:I631,MATCH(MIN(VLOOKUP('Data Mahasiswa'!B631:I631,'Data Mahasiswa'!$N$27:$O$36,2,0)),VLOOKUP('Data Mahasiswa'!B631:I631,'Data Mahasiswa'!$N$27:$O$36,2,0),0))</f>
        <v>E</v>
      </c>
      <c r="K631" s="8" t="str">
        <f t="shared" si="29"/>
        <v>Tidak Eligible</v>
      </c>
    </row>
    <row r="632" spans="1:11" x14ac:dyDescent="0.3">
      <c r="A632" s="5">
        <v>631</v>
      </c>
      <c r="B632" s="5" t="s">
        <v>681</v>
      </c>
      <c r="C632" s="5" t="s">
        <v>1058</v>
      </c>
      <c r="D632" s="5" t="s">
        <v>780</v>
      </c>
      <c r="E632" s="6">
        <f t="shared" si="27"/>
        <v>2025</v>
      </c>
      <c r="F632" s="5" t="str">
        <f>INDEX('Data Mahasiswa'!$N$1:$Q$14, MATCH(MID('Data Status Pendaftar'!B632, 5,2), 'Data Mahasiswa'!$N$1:$N$14,0),2)</f>
        <v>Pertanian</v>
      </c>
      <c r="G632" s="5" t="str" cm="1">
        <f t="array" ref="G632">INDEX('Data Mahasiswa'!$Q$2:$Q$14, MATCH(MID('Data Status Pendaftar'!B632,5,3), 'Data Mahasiswa'!$N$2:$N$14&amp;TEXT('Data Mahasiswa'!$P$2:$P$14,"0"), 0))</f>
        <v>Agroteknologi</v>
      </c>
      <c r="H632" s="6">
        <f t="shared" ca="1" si="28"/>
        <v>2</v>
      </c>
      <c r="I632" s="7">
        <f>INDEX('Data Mahasiswa'!$A$1:$J$701, MATCH('Data Status Pendaftar'!B632, 'Data Mahasiswa'!$A$1:$A$701, 0), 10)</f>
        <v>3.3125</v>
      </c>
      <c r="J632" s="5" t="str" cm="1">
        <f t="array" ref="J632">INDEX('Data Mahasiswa'!B632:I632,MATCH(MIN(VLOOKUP('Data Mahasiswa'!B632:I632,'Data Mahasiswa'!$N$27:$O$36,2,0)),VLOOKUP('Data Mahasiswa'!B632:I632,'Data Mahasiswa'!$N$27:$O$36,2,0),0))</f>
        <v>D</v>
      </c>
      <c r="K632" s="5" t="str">
        <f t="shared" si="29"/>
        <v>Tidak Eligible</v>
      </c>
    </row>
    <row r="633" spans="1:11" x14ac:dyDescent="0.3">
      <c r="A633" s="8">
        <v>632</v>
      </c>
      <c r="B633" s="8" t="s">
        <v>682</v>
      </c>
      <c r="C633" s="8" t="s">
        <v>1359</v>
      </c>
      <c r="D633" s="8" t="s">
        <v>780</v>
      </c>
      <c r="E633" s="9">
        <f t="shared" si="27"/>
        <v>2025</v>
      </c>
      <c r="F633" s="8" t="str">
        <f>INDEX('Data Mahasiswa'!$N$1:$Q$14, MATCH(MID('Data Status Pendaftar'!B633, 5,2), 'Data Mahasiswa'!$N$1:$N$14,0),2)</f>
        <v>Pertanian</v>
      </c>
      <c r="G633" s="8" t="str" cm="1">
        <f t="array" ref="G633">INDEX('Data Mahasiswa'!$Q$2:$Q$14, MATCH(MID('Data Status Pendaftar'!B633,5,3), 'Data Mahasiswa'!$N$2:$N$14&amp;TEXT('Data Mahasiswa'!$P$2:$P$14,"0"), 0))</f>
        <v>Agroteknologi</v>
      </c>
      <c r="H633" s="9">
        <f t="shared" ca="1" si="28"/>
        <v>2</v>
      </c>
      <c r="I633" s="10">
        <f>INDEX('Data Mahasiswa'!$A$1:$J$701, MATCH('Data Status Pendaftar'!B633, 'Data Mahasiswa'!$A$1:$A$701, 0), 10)</f>
        <v>3.0104166666666665</v>
      </c>
      <c r="J633" s="8" t="str" cm="1">
        <f t="array" ref="J633">INDEX('Data Mahasiswa'!B633:I633,MATCH(MIN(VLOOKUP('Data Mahasiswa'!B633:I633,'Data Mahasiswa'!$N$27:$O$36,2,0)),VLOOKUP('Data Mahasiswa'!B633:I633,'Data Mahasiswa'!$N$27:$O$36,2,0),0))</f>
        <v>C</v>
      </c>
      <c r="K633" s="8" t="str">
        <f t="shared" si="29"/>
        <v>Eligible</v>
      </c>
    </row>
    <row r="634" spans="1:11" x14ac:dyDescent="0.3">
      <c r="A634" s="5">
        <v>633</v>
      </c>
      <c r="B634" s="5" t="s">
        <v>683</v>
      </c>
      <c r="C634" s="5" t="s">
        <v>1360</v>
      </c>
      <c r="D634" s="5" t="s">
        <v>779</v>
      </c>
      <c r="E634" s="6">
        <f t="shared" si="27"/>
        <v>2025</v>
      </c>
      <c r="F634" s="5" t="str">
        <f>INDEX('Data Mahasiswa'!$N$1:$Q$14, MATCH(MID('Data Status Pendaftar'!B634, 5,2), 'Data Mahasiswa'!$N$1:$N$14,0),2)</f>
        <v>Pertanian</v>
      </c>
      <c r="G634" s="5" t="str" cm="1">
        <f t="array" ref="G634">INDEX('Data Mahasiswa'!$Q$2:$Q$14, MATCH(MID('Data Status Pendaftar'!B634,5,3), 'Data Mahasiswa'!$N$2:$N$14&amp;TEXT('Data Mahasiswa'!$P$2:$P$14,"0"), 0))</f>
        <v>Agroteknologi</v>
      </c>
      <c r="H634" s="6">
        <f t="shared" ca="1" si="28"/>
        <v>2</v>
      </c>
      <c r="I634" s="7">
        <f>INDEX('Data Mahasiswa'!$A$1:$J$701, MATCH('Data Status Pendaftar'!B634, 'Data Mahasiswa'!$A$1:$A$701, 0), 10)</f>
        <v>2.6458333333333335</v>
      </c>
      <c r="J634" s="5" t="str" cm="1">
        <f t="array" ref="J634">INDEX('Data Mahasiswa'!B634:I634,MATCH(MIN(VLOOKUP('Data Mahasiswa'!B634:I634,'Data Mahasiswa'!$N$27:$O$36,2,0)),VLOOKUP('Data Mahasiswa'!B634:I634,'Data Mahasiswa'!$N$27:$O$36,2,0),0))</f>
        <v>D</v>
      </c>
      <c r="K634" s="5" t="str">
        <f t="shared" si="29"/>
        <v>Tidak Eligible</v>
      </c>
    </row>
    <row r="635" spans="1:11" x14ac:dyDescent="0.3">
      <c r="A635" s="8">
        <v>634</v>
      </c>
      <c r="B635" s="8" t="s">
        <v>684</v>
      </c>
      <c r="C635" s="8" t="s">
        <v>798</v>
      </c>
      <c r="D635" s="8" t="s">
        <v>779</v>
      </c>
      <c r="E635" s="9">
        <f t="shared" si="27"/>
        <v>2025</v>
      </c>
      <c r="F635" s="8" t="str">
        <f>INDEX('Data Mahasiswa'!$N$1:$Q$14, MATCH(MID('Data Status Pendaftar'!B635, 5,2), 'Data Mahasiswa'!$N$1:$N$14,0),2)</f>
        <v>Pertanian</v>
      </c>
      <c r="G635" s="8" t="str" cm="1">
        <f t="array" ref="G635">INDEX('Data Mahasiswa'!$Q$2:$Q$14, MATCH(MID('Data Status Pendaftar'!B635,5,3), 'Data Mahasiswa'!$N$2:$N$14&amp;TEXT('Data Mahasiswa'!$P$2:$P$14,"0"), 0))</f>
        <v>Agroteknologi</v>
      </c>
      <c r="H635" s="9">
        <f t="shared" ca="1" si="28"/>
        <v>2</v>
      </c>
      <c r="I635" s="10">
        <f>INDEX('Data Mahasiswa'!$A$1:$J$701, MATCH('Data Status Pendaftar'!B635, 'Data Mahasiswa'!$A$1:$A$701, 0), 10)</f>
        <v>3.03125</v>
      </c>
      <c r="J635" s="8" t="str" cm="1">
        <f t="array" ref="J635">INDEX('Data Mahasiswa'!B635:I635,MATCH(MIN(VLOOKUP('Data Mahasiswa'!B635:I635,'Data Mahasiswa'!$N$27:$O$36,2,0)),VLOOKUP('Data Mahasiswa'!B635:I635,'Data Mahasiswa'!$N$27:$O$36,2,0),0))</f>
        <v>E</v>
      </c>
      <c r="K635" s="8" t="str">
        <f t="shared" si="29"/>
        <v>Tidak Eligible</v>
      </c>
    </row>
    <row r="636" spans="1:11" x14ac:dyDescent="0.3">
      <c r="A636" s="5">
        <v>635</v>
      </c>
      <c r="B636" s="5" t="s">
        <v>685</v>
      </c>
      <c r="C636" s="5" t="s">
        <v>1361</v>
      </c>
      <c r="D636" s="5" t="s">
        <v>779</v>
      </c>
      <c r="E636" s="6">
        <f t="shared" si="27"/>
        <v>2025</v>
      </c>
      <c r="F636" s="5" t="str">
        <f>INDEX('Data Mahasiswa'!$N$1:$Q$14, MATCH(MID('Data Status Pendaftar'!B636, 5,2), 'Data Mahasiswa'!$N$1:$N$14,0),2)</f>
        <v>Pertanian</v>
      </c>
      <c r="G636" s="5" t="str" cm="1">
        <f t="array" ref="G636">INDEX('Data Mahasiswa'!$Q$2:$Q$14, MATCH(MID('Data Status Pendaftar'!B636,5,3), 'Data Mahasiswa'!$N$2:$N$14&amp;TEXT('Data Mahasiswa'!$P$2:$P$14,"0"), 0))</f>
        <v>Agroteknologi</v>
      </c>
      <c r="H636" s="6">
        <f t="shared" ca="1" si="28"/>
        <v>2</v>
      </c>
      <c r="I636" s="7">
        <f>INDEX('Data Mahasiswa'!$A$1:$J$701, MATCH('Data Status Pendaftar'!B636, 'Data Mahasiswa'!$A$1:$A$701, 0), 10)</f>
        <v>2.34375</v>
      </c>
      <c r="J636" s="5" t="str" cm="1">
        <f t="array" ref="J636">INDEX('Data Mahasiswa'!B636:I636,MATCH(MIN(VLOOKUP('Data Mahasiswa'!B636:I636,'Data Mahasiswa'!$N$27:$O$36,2,0)),VLOOKUP('Data Mahasiswa'!B636:I636,'Data Mahasiswa'!$N$27:$O$36,2,0),0))</f>
        <v>E</v>
      </c>
      <c r="K636" s="5" t="str">
        <f t="shared" si="29"/>
        <v>Tidak Eligible</v>
      </c>
    </row>
    <row r="637" spans="1:11" x14ac:dyDescent="0.3">
      <c r="A637" s="8">
        <v>636</v>
      </c>
      <c r="B637" s="8" t="s">
        <v>686</v>
      </c>
      <c r="C637" s="8" t="s">
        <v>928</v>
      </c>
      <c r="D637" s="8" t="s">
        <v>779</v>
      </c>
      <c r="E637" s="9">
        <f t="shared" si="27"/>
        <v>2025</v>
      </c>
      <c r="F637" s="8" t="str">
        <f>INDEX('Data Mahasiswa'!$N$1:$Q$14, MATCH(MID('Data Status Pendaftar'!B637, 5,2), 'Data Mahasiswa'!$N$1:$N$14,0),2)</f>
        <v>Pertanian</v>
      </c>
      <c r="G637" s="8" t="str" cm="1">
        <f t="array" ref="G637">INDEX('Data Mahasiswa'!$Q$2:$Q$14, MATCH(MID('Data Status Pendaftar'!B637,5,3), 'Data Mahasiswa'!$N$2:$N$14&amp;TEXT('Data Mahasiswa'!$P$2:$P$14,"0"), 0))</f>
        <v>Agribisnis</v>
      </c>
      <c r="H637" s="9">
        <f t="shared" ca="1" si="28"/>
        <v>2</v>
      </c>
      <c r="I637" s="10">
        <f>INDEX('Data Mahasiswa'!$A$1:$J$701, MATCH('Data Status Pendaftar'!B637, 'Data Mahasiswa'!$A$1:$A$701, 0), 10)</f>
        <v>3.28125</v>
      </c>
      <c r="J637" s="8" t="str" cm="1">
        <f t="array" ref="J637">INDEX('Data Mahasiswa'!B637:I637,MATCH(MIN(VLOOKUP('Data Mahasiswa'!B637:I637,'Data Mahasiswa'!$N$27:$O$36,2,0)),VLOOKUP('Data Mahasiswa'!B637:I637,'Data Mahasiswa'!$N$27:$O$36,2,0),0))</f>
        <v>C</v>
      </c>
      <c r="K637" s="8" t="str">
        <f t="shared" si="29"/>
        <v>Eligible</v>
      </c>
    </row>
    <row r="638" spans="1:11" x14ac:dyDescent="0.3">
      <c r="A638" s="5">
        <v>637</v>
      </c>
      <c r="B638" s="5" t="s">
        <v>687</v>
      </c>
      <c r="C638" s="5" t="s">
        <v>1124</v>
      </c>
      <c r="D638" s="5" t="s">
        <v>780</v>
      </c>
      <c r="E638" s="6">
        <f t="shared" si="27"/>
        <v>2025</v>
      </c>
      <c r="F638" s="5" t="str">
        <f>INDEX('Data Mahasiswa'!$N$1:$Q$14, MATCH(MID('Data Status Pendaftar'!B638, 5,2), 'Data Mahasiswa'!$N$1:$N$14,0),2)</f>
        <v>Pertanian</v>
      </c>
      <c r="G638" s="5" t="str" cm="1">
        <f t="array" ref="G638">INDEX('Data Mahasiswa'!$Q$2:$Q$14, MATCH(MID('Data Status Pendaftar'!B638,5,3), 'Data Mahasiswa'!$N$2:$N$14&amp;TEXT('Data Mahasiswa'!$P$2:$P$14,"0"), 0))</f>
        <v>Agribisnis</v>
      </c>
      <c r="H638" s="6">
        <f t="shared" ca="1" si="28"/>
        <v>2</v>
      </c>
      <c r="I638" s="7">
        <f>INDEX('Data Mahasiswa'!$A$1:$J$701, MATCH('Data Status Pendaftar'!B638, 'Data Mahasiswa'!$A$1:$A$701, 0), 10)</f>
        <v>3.0416666666666665</v>
      </c>
      <c r="J638" s="5" t="str" cm="1">
        <f t="array" ref="J638">INDEX('Data Mahasiswa'!B638:I638,MATCH(MIN(VLOOKUP('Data Mahasiswa'!B638:I638,'Data Mahasiswa'!$N$27:$O$36,2,0)),VLOOKUP('Data Mahasiswa'!B638:I638,'Data Mahasiswa'!$N$27:$O$36,2,0),0))</f>
        <v>C+</v>
      </c>
      <c r="K638" s="5" t="str">
        <f t="shared" si="29"/>
        <v>Eligible</v>
      </c>
    </row>
    <row r="639" spans="1:11" x14ac:dyDescent="0.3">
      <c r="A639" s="8">
        <v>638</v>
      </c>
      <c r="B639" s="8" t="s">
        <v>688</v>
      </c>
      <c r="C639" s="8" t="s">
        <v>859</v>
      </c>
      <c r="D639" s="8" t="s">
        <v>779</v>
      </c>
      <c r="E639" s="9">
        <f t="shared" si="27"/>
        <v>2025</v>
      </c>
      <c r="F639" s="8" t="str">
        <f>INDEX('Data Mahasiswa'!$N$1:$Q$14, MATCH(MID('Data Status Pendaftar'!B639, 5,2), 'Data Mahasiswa'!$N$1:$N$14,0),2)</f>
        <v>Pertanian</v>
      </c>
      <c r="G639" s="8" t="str" cm="1">
        <f t="array" ref="G639">INDEX('Data Mahasiswa'!$Q$2:$Q$14, MATCH(MID('Data Status Pendaftar'!B639,5,3), 'Data Mahasiswa'!$N$2:$N$14&amp;TEXT('Data Mahasiswa'!$P$2:$P$14,"0"), 0))</f>
        <v>Agribisnis</v>
      </c>
      <c r="H639" s="9">
        <f t="shared" ca="1" si="28"/>
        <v>2</v>
      </c>
      <c r="I639" s="10">
        <f>INDEX('Data Mahasiswa'!$A$1:$J$701, MATCH('Data Status Pendaftar'!B639, 'Data Mahasiswa'!$A$1:$A$701, 0), 10)</f>
        <v>3.5520833333333335</v>
      </c>
      <c r="J639" s="8" t="str" cm="1">
        <f t="array" ref="J639">INDEX('Data Mahasiswa'!B639:I639,MATCH(MIN(VLOOKUP('Data Mahasiswa'!B639:I639,'Data Mahasiswa'!$N$27:$O$36,2,0)),VLOOKUP('Data Mahasiswa'!B639:I639,'Data Mahasiswa'!$N$27:$O$36,2,0),0))</f>
        <v>C+</v>
      </c>
      <c r="K639" s="8" t="str">
        <f t="shared" si="29"/>
        <v>Eligible</v>
      </c>
    </row>
    <row r="640" spans="1:11" x14ac:dyDescent="0.3">
      <c r="A640" s="5">
        <v>639</v>
      </c>
      <c r="B640" s="5" t="s">
        <v>689</v>
      </c>
      <c r="C640" s="5" t="s">
        <v>1362</v>
      </c>
      <c r="D640" s="5" t="s">
        <v>779</v>
      </c>
      <c r="E640" s="6">
        <f t="shared" si="27"/>
        <v>2025</v>
      </c>
      <c r="F640" s="5" t="str">
        <f>INDEX('Data Mahasiswa'!$N$1:$Q$14, MATCH(MID('Data Status Pendaftar'!B640, 5,2), 'Data Mahasiswa'!$N$1:$N$14,0),2)</f>
        <v>Pertanian</v>
      </c>
      <c r="G640" s="5" t="str" cm="1">
        <f t="array" ref="G640">INDEX('Data Mahasiswa'!$Q$2:$Q$14, MATCH(MID('Data Status Pendaftar'!B640,5,3), 'Data Mahasiswa'!$N$2:$N$14&amp;TEXT('Data Mahasiswa'!$P$2:$P$14,"0"), 0))</f>
        <v>Agribisnis</v>
      </c>
      <c r="H640" s="6">
        <f t="shared" ca="1" si="28"/>
        <v>2</v>
      </c>
      <c r="I640" s="7">
        <f>INDEX('Data Mahasiswa'!$A$1:$J$701, MATCH('Data Status Pendaftar'!B640, 'Data Mahasiswa'!$A$1:$A$701, 0), 10)</f>
        <v>3.1770833333333335</v>
      </c>
      <c r="J640" s="5" t="str" cm="1">
        <f t="array" ref="J640">INDEX('Data Mahasiswa'!B640:I640,MATCH(MIN(VLOOKUP('Data Mahasiswa'!B640:I640,'Data Mahasiswa'!$N$27:$O$36,2,0)),VLOOKUP('Data Mahasiswa'!B640:I640,'Data Mahasiswa'!$N$27:$O$36,2,0),0))</f>
        <v>C+</v>
      </c>
      <c r="K640" s="5" t="str">
        <f t="shared" si="29"/>
        <v>Eligible</v>
      </c>
    </row>
    <row r="641" spans="1:11" x14ac:dyDescent="0.3">
      <c r="A641" s="8">
        <v>640</v>
      </c>
      <c r="B641" s="8" t="s">
        <v>690</v>
      </c>
      <c r="C641" s="8" t="s">
        <v>1363</v>
      </c>
      <c r="D641" s="8" t="s">
        <v>780</v>
      </c>
      <c r="E641" s="9">
        <f t="shared" si="27"/>
        <v>2025</v>
      </c>
      <c r="F641" s="8" t="str">
        <f>INDEX('Data Mahasiswa'!$N$1:$Q$14, MATCH(MID('Data Status Pendaftar'!B641, 5,2), 'Data Mahasiswa'!$N$1:$N$14,0),2)</f>
        <v>Pertanian</v>
      </c>
      <c r="G641" s="8" t="str" cm="1">
        <f t="array" ref="G641">INDEX('Data Mahasiswa'!$Q$2:$Q$14, MATCH(MID('Data Status Pendaftar'!B641,5,3), 'Data Mahasiswa'!$N$2:$N$14&amp;TEXT('Data Mahasiswa'!$P$2:$P$14,"0"), 0))</f>
        <v>Agribisnis</v>
      </c>
      <c r="H641" s="9">
        <f t="shared" ca="1" si="28"/>
        <v>2</v>
      </c>
      <c r="I641" s="10">
        <f>INDEX('Data Mahasiswa'!$A$1:$J$701, MATCH('Data Status Pendaftar'!B641, 'Data Mahasiswa'!$A$1:$A$701, 0), 10)</f>
        <v>3.2708333333333335</v>
      </c>
      <c r="J641" s="8" t="str" cm="1">
        <f t="array" ref="J641">INDEX('Data Mahasiswa'!B641:I641,MATCH(MIN(VLOOKUP('Data Mahasiswa'!B641:I641,'Data Mahasiswa'!$N$27:$O$36,2,0)),VLOOKUP('Data Mahasiswa'!B641:I641,'Data Mahasiswa'!$N$27:$O$36,2,0),0))</f>
        <v>C</v>
      </c>
      <c r="K641" s="8" t="str">
        <f t="shared" si="29"/>
        <v>Eligible</v>
      </c>
    </row>
    <row r="642" spans="1:11" x14ac:dyDescent="0.3">
      <c r="A642" s="5">
        <v>641</v>
      </c>
      <c r="B642" s="5" t="s">
        <v>691</v>
      </c>
      <c r="C642" s="5" t="s">
        <v>1207</v>
      </c>
      <c r="D642" s="5" t="s">
        <v>780</v>
      </c>
      <c r="E642" s="6">
        <f t="shared" si="27"/>
        <v>2025</v>
      </c>
      <c r="F642" s="5" t="str">
        <f>INDEX('Data Mahasiswa'!$N$1:$Q$14, MATCH(MID('Data Status Pendaftar'!B642, 5,2), 'Data Mahasiswa'!$N$1:$N$14,0),2)</f>
        <v>Pertanian</v>
      </c>
      <c r="G642" s="5" t="str" cm="1">
        <f t="array" ref="G642">INDEX('Data Mahasiswa'!$Q$2:$Q$14, MATCH(MID('Data Status Pendaftar'!B642,5,3), 'Data Mahasiswa'!$N$2:$N$14&amp;TEXT('Data Mahasiswa'!$P$2:$P$14,"0"), 0))</f>
        <v>Agribisnis</v>
      </c>
      <c r="H642" s="6">
        <f t="shared" ca="1" si="28"/>
        <v>2</v>
      </c>
      <c r="I642" s="7">
        <f>INDEX('Data Mahasiswa'!$A$1:$J$701, MATCH('Data Status Pendaftar'!B642, 'Data Mahasiswa'!$A$1:$A$701, 0), 10)</f>
        <v>3.28125</v>
      </c>
      <c r="J642" s="5" t="str" cm="1">
        <f t="array" ref="J642">INDEX('Data Mahasiswa'!B642:I642,MATCH(MIN(VLOOKUP('Data Mahasiswa'!B642:I642,'Data Mahasiswa'!$N$27:$O$36,2,0)),VLOOKUP('Data Mahasiswa'!B642:I642,'Data Mahasiswa'!$N$27:$O$36,2,0),0))</f>
        <v>D</v>
      </c>
      <c r="K642" s="5" t="str">
        <f t="shared" si="29"/>
        <v>Tidak Eligible</v>
      </c>
    </row>
    <row r="643" spans="1:11" x14ac:dyDescent="0.3">
      <c r="A643" s="8">
        <v>642</v>
      </c>
      <c r="B643" s="8" t="s">
        <v>692</v>
      </c>
      <c r="C643" s="8" t="s">
        <v>1364</v>
      </c>
      <c r="D643" s="8" t="s">
        <v>780</v>
      </c>
      <c r="E643" s="9">
        <f t="shared" ref="E643:E701" si="30">LEFT(B643,2)+2000</f>
        <v>2025</v>
      </c>
      <c r="F643" s="8" t="str">
        <f>INDEX('Data Mahasiswa'!$N$1:$Q$14, MATCH(MID('Data Status Pendaftar'!B643, 5,2), 'Data Mahasiswa'!$N$1:$N$14,0),2)</f>
        <v>Pertanian</v>
      </c>
      <c r="G643" s="8" t="str" cm="1">
        <f t="array" ref="G643">INDEX('Data Mahasiswa'!$Q$2:$Q$14, MATCH(MID('Data Status Pendaftar'!B643,5,3), 'Data Mahasiswa'!$N$2:$N$14&amp;TEXT('Data Mahasiswa'!$P$2:$P$14,"0"), 0))</f>
        <v>Agribisnis</v>
      </c>
      <c r="H643" s="9">
        <f t="shared" ref="H643:H701" ca="1" si="31">(YEAR(TODAY())-E643)*2</f>
        <v>2</v>
      </c>
      <c r="I643" s="10">
        <f>INDEX('Data Mahasiswa'!$A$1:$J$701, MATCH('Data Status Pendaftar'!B643, 'Data Mahasiswa'!$A$1:$A$701, 0), 10)</f>
        <v>3.4479166666666665</v>
      </c>
      <c r="J643" s="8" t="str" cm="1">
        <f t="array" ref="J643">INDEX('Data Mahasiswa'!B643:I643,MATCH(MIN(VLOOKUP('Data Mahasiswa'!B643:I643,'Data Mahasiswa'!$N$27:$O$36,2,0)),VLOOKUP('Data Mahasiswa'!B643:I643,'Data Mahasiswa'!$N$27:$O$36,2,0),0))</f>
        <v>C</v>
      </c>
      <c r="K643" s="8" t="str">
        <f t="shared" ref="K643:K701" si="32">IF(AND(E643=2025,I643&gt;=2.75,OR(J643="A",J643="A-",J643="B+",J643="B",J643="B-",J643="C+",J643="C",J643="C-")),"Eligible","Tidak Eligible")</f>
        <v>Eligible</v>
      </c>
    </row>
    <row r="644" spans="1:11" x14ac:dyDescent="0.3">
      <c r="A644" s="5">
        <v>643</v>
      </c>
      <c r="B644" s="5" t="s">
        <v>693</v>
      </c>
      <c r="C644" s="5" t="s">
        <v>1365</v>
      </c>
      <c r="D644" s="5" t="s">
        <v>780</v>
      </c>
      <c r="E644" s="6">
        <f t="shared" si="30"/>
        <v>2025</v>
      </c>
      <c r="F644" s="5" t="str">
        <f>INDEX('Data Mahasiswa'!$N$1:$Q$14, MATCH(MID('Data Status Pendaftar'!B644, 5,2), 'Data Mahasiswa'!$N$1:$N$14,0),2)</f>
        <v>Pertanian</v>
      </c>
      <c r="G644" s="5" t="str" cm="1">
        <f t="array" ref="G644">INDEX('Data Mahasiswa'!$Q$2:$Q$14, MATCH(MID('Data Status Pendaftar'!B644,5,3), 'Data Mahasiswa'!$N$2:$N$14&amp;TEXT('Data Mahasiswa'!$P$2:$P$14,"0"), 0))</f>
        <v>Agribisnis</v>
      </c>
      <c r="H644" s="6">
        <f t="shared" ca="1" si="31"/>
        <v>2</v>
      </c>
      <c r="I644" s="7">
        <f>INDEX('Data Mahasiswa'!$A$1:$J$701, MATCH('Data Status Pendaftar'!B644, 'Data Mahasiswa'!$A$1:$A$701, 0), 10)</f>
        <v>3.25</v>
      </c>
      <c r="J644" s="5" t="str" cm="1">
        <f t="array" ref="J644">INDEX('Data Mahasiswa'!B644:I644,MATCH(MIN(VLOOKUP('Data Mahasiswa'!B644:I644,'Data Mahasiswa'!$N$27:$O$36,2,0)),VLOOKUP('Data Mahasiswa'!B644:I644,'Data Mahasiswa'!$N$27:$O$36,2,0),0))</f>
        <v>C+</v>
      </c>
      <c r="K644" s="5" t="str">
        <f t="shared" si="32"/>
        <v>Eligible</v>
      </c>
    </row>
    <row r="645" spans="1:11" x14ac:dyDescent="0.3">
      <c r="A645" s="8">
        <v>644</v>
      </c>
      <c r="B645" s="8" t="s">
        <v>694</v>
      </c>
      <c r="C645" s="8" t="s">
        <v>1366</v>
      </c>
      <c r="D645" s="8" t="s">
        <v>779</v>
      </c>
      <c r="E645" s="9">
        <f t="shared" si="30"/>
        <v>2025</v>
      </c>
      <c r="F645" s="8" t="str">
        <f>INDEX('Data Mahasiswa'!$N$1:$Q$14, MATCH(MID('Data Status Pendaftar'!B645, 5,2), 'Data Mahasiswa'!$N$1:$N$14,0),2)</f>
        <v>Pertanian</v>
      </c>
      <c r="G645" s="8" t="str" cm="1">
        <f t="array" ref="G645">INDEX('Data Mahasiswa'!$Q$2:$Q$14, MATCH(MID('Data Status Pendaftar'!B645,5,3), 'Data Mahasiswa'!$N$2:$N$14&amp;TEXT('Data Mahasiswa'!$P$2:$P$14,"0"), 0))</f>
        <v>Agribisnis</v>
      </c>
      <c r="H645" s="9">
        <f t="shared" ca="1" si="31"/>
        <v>2</v>
      </c>
      <c r="I645" s="10">
        <f>INDEX('Data Mahasiswa'!$A$1:$J$701, MATCH('Data Status Pendaftar'!B645, 'Data Mahasiswa'!$A$1:$A$701, 0), 10)</f>
        <v>3.1666666666666665</v>
      </c>
      <c r="J645" s="8" t="str" cm="1">
        <f t="array" ref="J645">INDEX('Data Mahasiswa'!B645:I645,MATCH(MIN(VLOOKUP('Data Mahasiswa'!B645:I645,'Data Mahasiswa'!$N$27:$O$36,2,0)),VLOOKUP('Data Mahasiswa'!B645:I645,'Data Mahasiswa'!$N$27:$O$36,2,0),0))</f>
        <v>B-</v>
      </c>
      <c r="K645" s="8" t="str">
        <f t="shared" si="32"/>
        <v>Eligible</v>
      </c>
    </row>
    <row r="646" spans="1:11" x14ac:dyDescent="0.3">
      <c r="A646" s="5">
        <v>645</v>
      </c>
      <c r="B646" s="5" t="s">
        <v>695</v>
      </c>
      <c r="C646" s="5" t="s">
        <v>1367</v>
      </c>
      <c r="D646" s="5" t="s">
        <v>780</v>
      </c>
      <c r="E646" s="6">
        <f t="shared" si="30"/>
        <v>2025</v>
      </c>
      <c r="F646" s="5" t="str">
        <f>INDEX('Data Mahasiswa'!$N$1:$Q$14, MATCH(MID('Data Status Pendaftar'!B646, 5,2), 'Data Mahasiswa'!$N$1:$N$14,0),2)</f>
        <v>Pertanian</v>
      </c>
      <c r="G646" s="5" t="str" cm="1">
        <f t="array" ref="G646">INDEX('Data Mahasiswa'!$Q$2:$Q$14, MATCH(MID('Data Status Pendaftar'!B646,5,3), 'Data Mahasiswa'!$N$2:$N$14&amp;TEXT('Data Mahasiswa'!$P$2:$P$14,"0"), 0))</f>
        <v>Agribisnis</v>
      </c>
      <c r="H646" s="6">
        <f t="shared" ca="1" si="31"/>
        <v>2</v>
      </c>
      <c r="I646" s="7">
        <f>INDEX('Data Mahasiswa'!$A$1:$J$701, MATCH('Data Status Pendaftar'!B646, 'Data Mahasiswa'!$A$1:$A$701, 0), 10)</f>
        <v>2.7395833333333335</v>
      </c>
      <c r="J646" s="5" t="str" cm="1">
        <f t="array" ref="J646">INDEX('Data Mahasiswa'!B646:I646,MATCH(MIN(VLOOKUP('Data Mahasiswa'!B646:I646,'Data Mahasiswa'!$N$27:$O$36,2,0)),VLOOKUP('Data Mahasiswa'!B646:I646,'Data Mahasiswa'!$N$27:$O$36,2,0),0))</f>
        <v>E</v>
      </c>
      <c r="K646" s="5" t="str">
        <f t="shared" si="32"/>
        <v>Tidak Eligible</v>
      </c>
    </row>
    <row r="647" spans="1:11" x14ac:dyDescent="0.3">
      <c r="A647" s="8">
        <v>646</v>
      </c>
      <c r="B647" s="8" t="s">
        <v>696</v>
      </c>
      <c r="C647" s="8" t="s">
        <v>1368</v>
      </c>
      <c r="D647" s="8" t="s">
        <v>779</v>
      </c>
      <c r="E647" s="9">
        <f t="shared" si="30"/>
        <v>2025</v>
      </c>
      <c r="F647" s="8" t="str">
        <f>INDEX('Data Mahasiswa'!$N$1:$Q$14, MATCH(MID('Data Status Pendaftar'!B647, 5,2), 'Data Mahasiswa'!$N$1:$N$14,0),2)</f>
        <v>Pertanian</v>
      </c>
      <c r="G647" s="8" t="str" cm="1">
        <f t="array" ref="G647">INDEX('Data Mahasiswa'!$Q$2:$Q$14, MATCH(MID('Data Status Pendaftar'!B647,5,3), 'Data Mahasiswa'!$N$2:$N$14&amp;TEXT('Data Mahasiswa'!$P$2:$P$14,"0"), 0))</f>
        <v>Agribisnis</v>
      </c>
      <c r="H647" s="9">
        <f t="shared" ca="1" si="31"/>
        <v>2</v>
      </c>
      <c r="I647" s="10">
        <f>INDEX('Data Mahasiswa'!$A$1:$J$701, MATCH('Data Status Pendaftar'!B647, 'Data Mahasiswa'!$A$1:$A$701, 0), 10)</f>
        <v>3.4895833333333335</v>
      </c>
      <c r="J647" s="8" t="str" cm="1">
        <f t="array" ref="J647">INDEX('Data Mahasiswa'!B647:I647,MATCH(MIN(VLOOKUP('Data Mahasiswa'!B647:I647,'Data Mahasiswa'!$N$27:$O$36,2,0)),VLOOKUP('Data Mahasiswa'!B647:I647,'Data Mahasiswa'!$N$27:$O$36,2,0),0))</f>
        <v>B-</v>
      </c>
      <c r="K647" s="8" t="str">
        <f t="shared" si="32"/>
        <v>Eligible</v>
      </c>
    </row>
    <row r="648" spans="1:11" x14ac:dyDescent="0.3">
      <c r="A648" s="5">
        <v>647</v>
      </c>
      <c r="B648" s="5" t="s">
        <v>697</v>
      </c>
      <c r="C648" s="5" t="s">
        <v>1369</v>
      </c>
      <c r="D648" s="5" t="s">
        <v>780</v>
      </c>
      <c r="E648" s="6">
        <f t="shared" si="30"/>
        <v>2025</v>
      </c>
      <c r="F648" s="5" t="str">
        <f>INDEX('Data Mahasiswa'!$N$1:$Q$14, MATCH(MID('Data Status Pendaftar'!B648, 5,2), 'Data Mahasiswa'!$N$1:$N$14,0),2)</f>
        <v>Pertanian</v>
      </c>
      <c r="G648" s="5" t="str" cm="1">
        <f t="array" ref="G648">INDEX('Data Mahasiswa'!$Q$2:$Q$14, MATCH(MID('Data Status Pendaftar'!B648,5,3), 'Data Mahasiswa'!$N$2:$N$14&amp;TEXT('Data Mahasiswa'!$P$2:$P$14,"0"), 0))</f>
        <v>Agribisnis</v>
      </c>
      <c r="H648" s="6">
        <f t="shared" ca="1" si="31"/>
        <v>2</v>
      </c>
      <c r="I648" s="7">
        <f>INDEX('Data Mahasiswa'!$A$1:$J$701, MATCH('Data Status Pendaftar'!B648, 'Data Mahasiswa'!$A$1:$A$701, 0), 10)</f>
        <v>3</v>
      </c>
      <c r="J648" s="5" t="str" cm="1">
        <f t="array" ref="J648">INDEX('Data Mahasiswa'!B648:I648,MATCH(MIN(VLOOKUP('Data Mahasiswa'!B648:I648,'Data Mahasiswa'!$N$27:$O$36,2,0)),VLOOKUP('Data Mahasiswa'!B648:I648,'Data Mahasiswa'!$N$27:$O$36,2,0),0))</f>
        <v>E</v>
      </c>
      <c r="K648" s="5" t="str">
        <f t="shared" si="32"/>
        <v>Tidak Eligible</v>
      </c>
    </row>
    <row r="649" spans="1:11" x14ac:dyDescent="0.3">
      <c r="A649" s="8">
        <v>648</v>
      </c>
      <c r="B649" s="8" t="s">
        <v>698</v>
      </c>
      <c r="C649" s="8" t="s">
        <v>1370</v>
      </c>
      <c r="D649" s="8" t="s">
        <v>780</v>
      </c>
      <c r="E649" s="9">
        <f t="shared" si="30"/>
        <v>2025</v>
      </c>
      <c r="F649" s="8" t="str">
        <f>INDEX('Data Mahasiswa'!$N$1:$Q$14, MATCH(MID('Data Status Pendaftar'!B649, 5,2), 'Data Mahasiswa'!$N$1:$N$14,0),2)</f>
        <v>Pertanian</v>
      </c>
      <c r="G649" s="8" t="str" cm="1">
        <f t="array" ref="G649">INDEX('Data Mahasiswa'!$Q$2:$Q$14, MATCH(MID('Data Status Pendaftar'!B649,5,3), 'Data Mahasiswa'!$N$2:$N$14&amp;TEXT('Data Mahasiswa'!$P$2:$P$14,"0"), 0))</f>
        <v>Agribisnis</v>
      </c>
      <c r="H649" s="9">
        <f t="shared" ca="1" si="31"/>
        <v>2</v>
      </c>
      <c r="I649" s="10">
        <f>INDEX('Data Mahasiswa'!$A$1:$J$701, MATCH('Data Status Pendaftar'!B649, 'Data Mahasiswa'!$A$1:$A$701, 0), 10)</f>
        <v>2.96875</v>
      </c>
      <c r="J649" s="8" t="str" cm="1">
        <f t="array" ref="J649">INDEX('Data Mahasiswa'!B649:I649,MATCH(MIN(VLOOKUP('Data Mahasiswa'!B649:I649,'Data Mahasiswa'!$N$27:$O$36,2,0)),VLOOKUP('Data Mahasiswa'!B649:I649,'Data Mahasiswa'!$N$27:$O$36,2,0),0))</f>
        <v>D</v>
      </c>
      <c r="K649" s="8" t="str">
        <f t="shared" si="32"/>
        <v>Tidak Eligible</v>
      </c>
    </row>
    <row r="650" spans="1:11" x14ac:dyDescent="0.3">
      <c r="A650" s="5">
        <v>649</v>
      </c>
      <c r="B650" s="5" t="s">
        <v>699</v>
      </c>
      <c r="C650" s="5" t="s">
        <v>1371</v>
      </c>
      <c r="D650" s="5" t="s">
        <v>779</v>
      </c>
      <c r="E650" s="6">
        <f t="shared" si="30"/>
        <v>2025</v>
      </c>
      <c r="F650" s="5" t="str">
        <f>INDEX('Data Mahasiswa'!$N$1:$Q$14, MATCH(MID('Data Status Pendaftar'!B650, 5,2), 'Data Mahasiswa'!$N$1:$N$14,0),2)</f>
        <v>Pertanian</v>
      </c>
      <c r="G650" s="5" t="str" cm="1">
        <f t="array" ref="G650">INDEX('Data Mahasiswa'!$Q$2:$Q$14, MATCH(MID('Data Status Pendaftar'!B650,5,3), 'Data Mahasiswa'!$N$2:$N$14&amp;TEXT('Data Mahasiswa'!$P$2:$P$14,"0"), 0))</f>
        <v>Agribisnis</v>
      </c>
      <c r="H650" s="6">
        <f t="shared" ca="1" si="31"/>
        <v>2</v>
      </c>
      <c r="I650" s="7">
        <f>INDEX('Data Mahasiswa'!$A$1:$J$701, MATCH('Data Status Pendaftar'!B650, 'Data Mahasiswa'!$A$1:$A$701, 0), 10)</f>
        <v>2.9479166666666665</v>
      </c>
      <c r="J650" s="5" t="str" cm="1">
        <f t="array" ref="J650">INDEX('Data Mahasiswa'!B650:I650,MATCH(MIN(VLOOKUP('Data Mahasiswa'!B650:I650,'Data Mahasiswa'!$N$27:$O$36,2,0)),VLOOKUP('Data Mahasiswa'!B650:I650,'Data Mahasiswa'!$N$27:$O$36,2,0),0))</f>
        <v>E</v>
      </c>
      <c r="K650" s="5" t="str">
        <f t="shared" si="32"/>
        <v>Tidak Eligible</v>
      </c>
    </row>
    <row r="651" spans="1:11" x14ac:dyDescent="0.3">
      <c r="A651" s="8">
        <v>650</v>
      </c>
      <c r="B651" s="8" t="s">
        <v>700</v>
      </c>
      <c r="C651" s="8" t="s">
        <v>1372</v>
      </c>
      <c r="D651" s="8" t="s">
        <v>779</v>
      </c>
      <c r="E651" s="9">
        <f t="shared" si="30"/>
        <v>2025</v>
      </c>
      <c r="F651" s="8" t="str">
        <f>INDEX('Data Mahasiswa'!$N$1:$Q$14, MATCH(MID('Data Status Pendaftar'!B651, 5,2), 'Data Mahasiswa'!$N$1:$N$14,0),2)</f>
        <v>Pertanian</v>
      </c>
      <c r="G651" s="8" t="str" cm="1">
        <f t="array" ref="G651">INDEX('Data Mahasiswa'!$Q$2:$Q$14, MATCH(MID('Data Status Pendaftar'!B651,5,3), 'Data Mahasiswa'!$N$2:$N$14&amp;TEXT('Data Mahasiswa'!$P$2:$P$14,"0"), 0))</f>
        <v>Agribisnis</v>
      </c>
      <c r="H651" s="9">
        <f t="shared" ca="1" si="31"/>
        <v>2</v>
      </c>
      <c r="I651" s="10">
        <f>INDEX('Data Mahasiswa'!$A$1:$J$701, MATCH('Data Status Pendaftar'!B651, 'Data Mahasiswa'!$A$1:$A$701, 0), 10)</f>
        <v>3.25</v>
      </c>
      <c r="J651" s="8" t="str" cm="1">
        <f t="array" ref="J651">INDEX('Data Mahasiswa'!B651:I651,MATCH(MIN(VLOOKUP('Data Mahasiswa'!B651:I651,'Data Mahasiswa'!$N$27:$O$36,2,0)),VLOOKUP('Data Mahasiswa'!B651:I651,'Data Mahasiswa'!$N$27:$O$36,2,0),0))</f>
        <v>C+</v>
      </c>
      <c r="K651" s="8" t="str">
        <f t="shared" si="32"/>
        <v>Eligible</v>
      </c>
    </row>
    <row r="652" spans="1:11" x14ac:dyDescent="0.3">
      <c r="A652" s="5">
        <v>651</v>
      </c>
      <c r="B652" s="5" t="s">
        <v>701</v>
      </c>
      <c r="C652" s="5" t="s">
        <v>1373</v>
      </c>
      <c r="D652" s="5" t="s">
        <v>779</v>
      </c>
      <c r="E652" s="6">
        <f t="shared" si="30"/>
        <v>2025</v>
      </c>
      <c r="F652" s="5" t="str">
        <f>INDEX('Data Mahasiswa'!$N$1:$Q$14, MATCH(MID('Data Status Pendaftar'!B652, 5,2), 'Data Mahasiswa'!$N$1:$N$14,0),2)</f>
        <v>Pertanian</v>
      </c>
      <c r="G652" s="5" t="str" cm="1">
        <f t="array" ref="G652">INDEX('Data Mahasiswa'!$Q$2:$Q$14, MATCH(MID('Data Status Pendaftar'!B652,5,3), 'Data Mahasiswa'!$N$2:$N$14&amp;TEXT('Data Mahasiswa'!$P$2:$P$14,"0"), 0))</f>
        <v>Agribisnis</v>
      </c>
      <c r="H652" s="6">
        <f t="shared" ca="1" si="31"/>
        <v>2</v>
      </c>
      <c r="I652" s="7">
        <f>INDEX('Data Mahasiswa'!$A$1:$J$701, MATCH('Data Status Pendaftar'!B652, 'Data Mahasiswa'!$A$1:$A$701, 0), 10)</f>
        <v>2.9375</v>
      </c>
      <c r="J652" s="5" t="str" cm="1">
        <f t="array" ref="J652">INDEX('Data Mahasiswa'!B652:I652,MATCH(MIN(VLOOKUP('Data Mahasiswa'!B652:I652,'Data Mahasiswa'!$N$27:$O$36,2,0)),VLOOKUP('Data Mahasiswa'!B652:I652,'Data Mahasiswa'!$N$27:$O$36,2,0),0))</f>
        <v>E</v>
      </c>
      <c r="K652" s="5" t="str">
        <f t="shared" si="32"/>
        <v>Tidak Eligible</v>
      </c>
    </row>
    <row r="653" spans="1:11" x14ac:dyDescent="0.3">
      <c r="A653" s="8">
        <v>652</v>
      </c>
      <c r="B653" s="8" t="s">
        <v>702</v>
      </c>
      <c r="C653" s="8" t="s">
        <v>1374</v>
      </c>
      <c r="D653" s="8" t="s">
        <v>780</v>
      </c>
      <c r="E653" s="9">
        <f t="shared" si="30"/>
        <v>2025</v>
      </c>
      <c r="F653" s="8" t="str">
        <f>INDEX('Data Mahasiswa'!$N$1:$Q$14, MATCH(MID('Data Status Pendaftar'!B653, 5,2), 'Data Mahasiswa'!$N$1:$N$14,0),2)</f>
        <v>Ilmu Sosial</v>
      </c>
      <c r="G653" s="8" t="str" cm="1">
        <f t="array" ref="G653">INDEX('Data Mahasiswa'!$Q$2:$Q$14, MATCH(MID('Data Status Pendaftar'!B653,5,3), 'Data Mahasiswa'!$N$2:$N$14&amp;TEXT('Data Mahasiswa'!$P$2:$P$14,"0"), 0))</f>
        <v>Administrasi Publik</v>
      </c>
      <c r="H653" s="9">
        <f t="shared" ca="1" si="31"/>
        <v>2</v>
      </c>
      <c r="I653" s="10">
        <f>INDEX('Data Mahasiswa'!$A$1:$J$701, MATCH('Data Status Pendaftar'!B653, 'Data Mahasiswa'!$A$1:$A$701, 0), 10)</f>
        <v>2.8125</v>
      </c>
      <c r="J653" s="8" t="str" cm="1">
        <f t="array" ref="J653">INDEX('Data Mahasiswa'!B653:I653,MATCH(MIN(VLOOKUP('Data Mahasiswa'!B653:I653,'Data Mahasiswa'!$N$27:$O$36,2,0)),VLOOKUP('Data Mahasiswa'!B653:I653,'Data Mahasiswa'!$N$27:$O$36,2,0),0))</f>
        <v>C</v>
      </c>
      <c r="K653" s="8" t="str">
        <f t="shared" si="32"/>
        <v>Eligible</v>
      </c>
    </row>
    <row r="654" spans="1:11" x14ac:dyDescent="0.3">
      <c r="A654" s="5">
        <v>653</v>
      </c>
      <c r="B654" s="5" t="s">
        <v>703</v>
      </c>
      <c r="C654" s="5" t="s">
        <v>1228</v>
      </c>
      <c r="D654" s="5" t="s">
        <v>779</v>
      </c>
      <c r="E654" s="6">
        <f t="shared" si="30"/>
        <v>2025</v>
      </c>
      <c r="F654" s="5" t="str">
        <f>INDEX('Data Mahasiswa'!$N$1:$Q$14, MATCH(MID('Data Status Pendaftar'!B654, 5,2), 'Data Mahasiswa'!$N$1:$N$14,0),2)</f>
        <v>Ilmu Sosial</v>
      </c>
      <c r="G654" s="5" t="str" cm="1">
        <f t="array" ref="G654">INDEX('Data Mahasiswa'!$Q$2:$Q$14, MATCH(MID('Data Status Pendaftar'!B654,5,3), 'Data Mahasiswa'!$N$2:$N$14&amp;TEXT('Data Mahasiswa'!$P$2:$P$14,"0"), 0))</f>
        <v>Administrasi Publik</v>
      </c>
      <c r="H654" s="6">
        <f t="shared" ca="1" si="31"/>
        <v>2</v>
      </c>
      <c r="I654" s="7">
        <f>INDEX('Data Mahasiswa'!$A$1:$J$701, MATCH('Data Status Pendaftar'!B654, 'Data Mahasiswa'!$A$1:$A$701, 0), 10)</f>
        <v>2.8333333333333335</v>
      </c>
      <c r="J654" s="5" t="str" cm="1">
        <f t="array" ref="J654">INDEX('Data Mahasiswa'!B654:I654,MATCH(MIN(VLOOKUP('Data Mahasiswa'!B654:I654,'Data Mahasiswa'!$N$27:$O$36,2,0)),VLOOKUP('Data Mahasiswa'!B654:I654,'Data Mahasiswa'!$N$27:$O$36,2,0),0))</f>
        <v>E</v>
      </c>
      <c r="K654" s="5" t="str">
        <f t="shared" si="32"/>
        <v>Tidak Eligible</v>
      </c>
    </row>
    <row r="655" spans="1:11" x14ac:dyDescent="0.3">
      <c r="A655" s="8">
        <v>654</v>
      </c>
      <c r="B655" s="8" t="s">
        <v>704</v>
      </c>
      <c r="C655" s="8" t="s">
        <v>1375</v>
      </c>
      <c r="D655" s="8" t="s">
        <v>779</v>
      </c>
      <c r="E655" s="9">
        <f t="shared" si="30"/>
        <v>2025</v>
      </c>
      <c r="F655" s="8" t="str">
        <f>INDEX('Data Mahasiswa'!$N$1:$Q$14, MATCH(MID('Data Status Pendaftar'!B655, 5,2), 'Data Mahasiswa'!$N$1:$N$14,0),2)</f>
        <v>Ilmu Sosial</v>
      </c>
      <c r="G655" s="8" t="str" cm="1">
        <f t="array" ref="G655">INDEX('Data Mahasiswa'!$Q$2:$Q$14, MATCH(MID('Data Status Pendaftar'!B655,5,3), 'Data Mahasiswa'!$N$2:$N$14&amp;TEXT('Data Mahasiswa'!$P$2:$P$14,"0"), 0))</f>
        <v>Administrasi Publik</v>
      </c>
      <c r="H655" s="9">
        <f t="shared" ca="1" si="31"/>
        <v>2</v>
      </c>
      <c r="I655" s="10">
        <f>INDEX('Data Mahasiswa'!$A$1:$J$701, MATCH('Data Status Pendaftar'!B655, 'Data Mahasiswa'!$A$1:$A$701, 0), 10)</f>
        <v>2.5625</v>
      </c>
      <c r="J655" s="8" t="str" cm="1">
        <f t="array" ref="J655">INDEX('Data Mahasiswa'!B655:I655,MATCH(MIN(VLOOKUP('Data Mahasiswa'!B655:I655,'Data Mahasiswa'!$N$27:$O$36,2,0)),VLOOKUP('Data Mahasiswa'!B655:I655,'Data Mahasiswa'!$N$27:$O$36,2,0),0))</f>
        <v>D</v>
      </c>
      <c r="K655" s="8" t="str">
        <f t="shared" si="32"/>
        <v>Tidak Eligible</v>
      </c>
    </row>
    <row r="656" spans="1:11" x14ac:dyDescent="0.3">
      <c r="A656" s="5">
        <v>655</v>
      </c>
      <c r="B656" s="5" t="s">
        <v>705</v>
      </c>
      <c r="C656" s="5" t="s">
        <v>1376</v>
      </c>
      <c r="D656" s="5" t="s">
        <v>779</v>
      </c>
      <c r="E656" s="6">
        <f t="shared" si="30"/>
        <v>2025</v>
      </c>
      <c r="F656" s="5" t="str">
        <f>INDEX('Data Mahasiswa'!$N$1:$Q$14, MATCH(MID('Data Status Pendaftar'!B656, 5,2), 'Data Mahasiswa'!$N$1:$N$14,0),2)</f>
        <v>Ilmu Sosial</v>
      </c>
      <c r="G656" s="5" t="str" cm="1">
        <f t="array" ref="G656">INDEX('Data Mahasiswa'!$Q$2:$Q$14, MATCH(MID('Data Status Pendaftar'!B656,5,3), 'Data Mahasiswa'!$N$2:$N$14&amp;TEXT('Data Mahasiswa'!$P$2:$P$14,"0"), 0))</f>
        <v>Administrasi Publik</v>
      </c>
      <c r="H656" s="6">
        <f t="shared" ca="1" si="31"/>
        <v>2</v>
      </c>
      <c r="I656" s="7">
        <f>INDEX('Data Mahasiswa'!$A$1:$J$701, MATCH('Data Status Pendaftar'!B656, 'Data Mahasiswa'!$A$1:$A$701, 0), 10)</f>
        <v>3.28125</v>
      </c>
      <c r="J656" s="5" t="str" cm="1">
        <f t="array" ref="J656">INDEX('Data Mahasiswa'!B656:I656,MATCH(MIN(VLOOKUP('Data Mahasiswa'!B656:I656,'Data Mahasiswa'!$N$27:$O$36,2,0)),VLOOKUP('Data Mahasiswa'!B656:I656,'Data Mahasiswa'!$N$27:$O$36,2,0),0))</f>
        <v>B</v>
      </c>
      <c r="K656" s="5" t="str">
        <f t="shared" si="32"/>
        <v>Eligible</v>
      </c>
    </row>
    <row r="657" spans="1:11" x14ac:dyDescent="0.3">
      <c r="A657" s="8">
        <v>656</v>
      </c>
      <c r="B657" s="8" t="s">
        <v>706</v>
      </c>
      <c r="C657" s="8" t="s">
        <v>873</v>
      </c>
      <c r="D657" s="8" t="s">
        <v>779</v>
      </c>
      <c r="E657" s="9">
        <f t="shared" si="30"/>
        <v>2025</v>
      </c>
      <c r="F657" s="8" t="str">
        <f>INDEX('Data Mahasiswa'!$N$1:$Q$14, MATCH(MID('Data Status Pendaftar'!B657, 5,2), 'Data Mahasiswa'!$N$1:$N$14,0),2)</f>
        <v>Ilmu Sosial</v>
      </c>
      <c r="G657" s="8" t="str" cm="1">
        <f t="array" ref="G657">INDEX('Data Mahasiswa'!$Q$2:$Q$14, MATCH(MID('Data Status Pendaftar'!B657,5,3), 'Data Mahasiswa'!$N$2:$N$14&amp;TEXT('Data Mahasiswa'!$P$2:$P$14,"0"), 0))</f>
        <v>Administrasi Publik</v>
      </c>
      <c r="H657" s="9">
        <f t="shared" ca="1" si="31"/>
        <v>2</v>
      </c>
      <c r="I657" s="10">
        <f>INDEX('Data Mahasiswa'!$A$1:$J$701, MATCH('Data Status Pendaftar'!B657, 'Data Mahasiswa'!$A$1:$A$701, 0), 10)</f>
        <v>3.1145833333333335</v>
      </c>
      <c r="J657" s="8" t="str" cm="1">
        <f t="array" ref="J657">INDEX('Data Mahasiswa'!B657:I657,MATCH(MIN(VLOOKUP('Data Mahasiswa'!B657:I657,'Data Mahasiswa'!$N$27:$O$36,2,0)),VLOOKUP('Data Mahasiswa'!B657:I657,'Data Mahasiswa'!$N$27:$O$36,2,0),0))</f>
        <v>C+</v>
      </c>
      <c r="K657" s="8" t="str">
        <f t="shared" si="32"/>
        <v>Eligible</v>
      </c>
    </row>
    <row r="658" spans="1:11" x14ac:dyDescent="0.3">
      <c r="A658" s="5">
        <v>657</v>
      </c>
      <c r="B658" s="5" t="s">
        <v>707</v>
      </c>
      <c r="C658" s="5" t="s">
        <v>1237</v>
      </c>
      <c r="D658" s="5" t="s">
        <v>779</v>
      </c>
      <c r="E658" s="6">
        <f t="shared" si="30"/>
        <v>2025</v>
      </c>
      <c r="F658" s="5" t="str">
        <f>INDEX('Data Mahasiswa'!$N$1:$Q$14, MATCH(MID('Data Status Pendaftar'!B658, 5,2), 'Data Mahasiswa'!$N$1:$N$14,0),2)</f>
        <v>Ilmu Sosial</v>
      </c>
      <c r="G658" s="5" t="str" cm="1">
        <f t="array" ref="G658">INDEX('Data Mahasiswa'!$Q$2:$Q$14, MATCH(MID('Data Status Pendaftar'!B658,5,3), 'Data Mahasiswa'!$N$2:$N$14&amp;TEXT('Data Mahasiswa'!$P$2:$P$14,"0"), 0))</f>
        <v>Administrasi Publik</v>
      </c>
      <c r="H658" s="6">
        <f t="shared" ca="1" si="31"/>
        <v>2</v>
      </c>
      <c r="I658" s="7">
        <f>INDEX('Data Mahasiswa'!$A$1:$J$701, MATCH('Data Status Pendaftar'!B658, 'Data Mahasiswa'!$A$1:$A$701, 0), 10)</f>
        <v>3.0729166666666665</v>
      </c>
      <c r="J658" s="5" t="str" cm="1">
        <f t="array" ref="J658">INDEX('Data Mahasiswa'!B658:I658,MATCH(MIN(VLOOKUP('Data Mahasiswa'!B658:I658,'Data Mahasiswa'!$N$27:$O$36,2,0)),VLOOKUP('Data Mahasiswa'!B658:I658,'Data Mahasiswa'!$N$27:$O$36,2,0),0))</f>
        <v>C</v>
      </c>
      <c r="K658" s="5" t="str">
        <f t="shared" si="32"/>
        <v>Eligible</v>
      </c>
    </row>
    <row r="659" spans="1:11" x14ac:dyDescent="0.3">
      <c r="A659" s="8">
        <v>658</v>
      </c>
      <c r="B659" s="8" t="s">
        <v>708</v>
      </c>
      <c r="C659" s="8" t="s">
        <v>1377</v>
      </c>
      <c r="D659" s="8" t="s">
        <v>780</v>
      </c>
      <c r="E659" s="9">
        <f t="shared" si="30"/>
        <v>2025</v>
      </c>
      <c r="F659" s="8" t="str">
        <f>INDEX('Data Mahasiswa'!$N$1:$Q$14, MATCH(MID('Data Status Pendaftar'!B659, 5,2), 'Data Mahasiswa'!$N$1:$N$14,0),2)</f>
        <v>Ilmu Sosial</v>
      </c>
      <c r="G659" s="8" t="str" cm="1">
        <f t="array" ref="G659">INDEX('Data Mahasiswa'!$Q$2:$Q$14, MATCH(MID('Data Status Pendaftar'!B659,5,3), 'Data Mahasiswa'!$N$2:$N$14&amp;TEXT('Data Mahasiswa'!$P$2:$P$14,"0"), 0))</f>
        <v>Administrasi Publik</v>
      </c>
      <c r="H659" s="9">
        <f t="shared" ca="1" si="31"/>
        <v>2</v>
      </c>
      <c r="I659" s="10">
        <f>INDEX('Data Mahasiswa'!$A$1:$J$701, MATCH('Data Status Pendaftar'!B659, 'Data Mahasiswa'!$A$1:$A$701, 0), 10)</f>
        <v>3.0520833333333335</v>
      </c>
      <c r="J659" s="8" t="str" cm="1">
        <f t="array" ref="J659">INDEX('Data Mahasiswa'!B659:I659,MATCH(MIN(VLOOKUP('Data Mahasiswa'!B659:I659,'Data Mahasiswa'!$N$27:$O$36,2,0)),VLOOKUP('Data Mahasiswa'!B659:I659,'Data Mahasiswa'!$N$27:$O$36,2,0),0))</f>
        <v>C+</v>
      </c>
      <c r="K659" s="8" t="str">
        <f t="shared" si="32"/>
        <v>Eligible</v>
      </c>
    </row>
    <row r="660" spans="1:11" x14ac:dyDescent="0.3">
      <c r="A660" s="5">
        <v>659</v>
      </c>
      <c r="B660" s="5" t="s">
        <v>709</v>
      </c>
      <c r="C660" s="5" t="s">
        <v>1378</v>
      </c>
      <c r="D660" s="5" t="s">
        <v>779</v>
      </c>
      <c r="E660" s="6">
        <f t="shared" si="30"/>
        <v>2025</v>
      </c>
      <c r="F660" s="5" t="str">
        <f>INDEX('Data Mahasiswa'!$N$1:$Q$14, MATCH(MID('Data Status Pendaftar'!B660, 5,2), 'Data Mahasiswa'!$N$1:$N$14,0),2)</f>
        <v>Ilmu Sosial</v>
      </c>
      <c r="G660" s="5" t="str" cm="1">
        <f t="array" ref="G660">INDEX('Data Mahasiswa'!$Q$2:$Q$14, MATCH(MID('Data Status Pendaftar'!B660,5,3), 'Data Mahasiswa'!$N$2:$N$14&amp;TEXT('Data Mahasiswa'!$P$2:$P$14,"0"), 0))</f>
        <v>Administrasi Publik</v>
      </c>
      <c r="H660" s="6">
        <f t="shared" ca="1" si="31"/>
        <v>2</v>
      </c>
      <c r="I660" s="7">
        <f>INDEX('Data Mahasiswa'!$A$1:$J$701, MATCH('Data Status Pendaftar'!B660, 'Data Mahasiswa'!$A$1:$A$701, 0), 10)</f>
        <v>3.0208333333333335</v>
      </c>
      <c r="J660" s="5" t="str" cm="1">
        <f t="array" ref="J660">INDEX('Data Mahasiswa'!B660:I660,MATCH(MIN(VLOOKUP('Data Mahasiswa'!B660:I660,'Data Mahasiswa'!$N$27:$O$36,2,0)),VLOOKUP('Data Mahasiswa'!B660:I660,'Data Mahasiswa'!$N$27:$O$36,2,0),0))</f>
        <v>C+</v>
      </c>
      <c r="K660" s="5" t="str">
        <f t="shared" si="32"/>
        <v>Eligible</v>
      </c>
    </row>
    <row r="661" spans="1:11" x14ac:dyDescent="0.3">
      <c r="A661" s="8">
        <v>660</v>
      </c>
      <c r="B661" s="8" t="s">
        <v>710</v>
      </c>
      <c r="C661" s="8" t="s">
        <v>1379</v>
      </c>
      <c r="D661" s="8" t="s">
        <v>779</v>
      </c>
      <c r="E661" s="9">
        <f t="shared" si="30"/>
        <v>2025</v>
      </c>
      <c r="F661" s="8" t="str">
        <f>INDEX('Data Mahasiswa'!$N$1:$Q$14, MATCH(MID('Data Status Pendaftar'!B661, 5,2), 'Data Mahasiswa'!$N$1:$N$14,0),2)</f>
        <v>Ilmu Sosial</v>
      </c>
      <c r="G661" s="8" t="str" cm="1">
        <f t="array" ref="G661">INDEX('Data Mahasiswa'!$Q$2:$Q$14, MATCH(MID('Data Status Pendaftar'!B661,5,3), 'Data Mahasiswa'!$N$2:$N$14&amp;TEXT('Data Mahasiswa'!$P$2:$P$14,"0"), 0))</f>
        <v>Administrasi Publik</v>
      </c>
      <c r="H661" s="9">
        <f t="shared" ca="1" si="31"/>
        <v>2</v>
      </c>
      <c r="I661" s="10">
        <f>INDEX('Data Mahasiswa'!$A$1:$J$701, MATCH('Data Status Pendaftar'!B661, 'Data Mahasiswa'!$A$1:$A$701, 0), 10)</f>
        <v>2.9791666666666665</v>
      </c>
      <c r="J661" s="8" t="str" cm="1">
        <f t="array" ref="J661">INDEX('Data Mahasiswa'!B661:I661,MATCH(MIN(VLOOKUP('Data Mahasiswa'!B661:I661,'Data Mahasiswa'!$N$27:$O$36,2,0)),VLOOKUP('Data Mahasiswa'!B661:I661,'Data Mahasiswa'!$N$27:$O$36,2,0),0))</f>
        <v>D</v>
      </c>
      <c r="K661" s="8" t="str">
        <f t="shared" si="32"/>
        <v>Tidak Eligible</v>
      </c>
    </row>
    <row r="662" spans="1:11" x14ac:dyDescent="0.3">
      <c r="A662" s="5">
        <v>661</v>
      </c>
      <c r="B662" s="5" t="s">
        <v>711</v>
      </c>
      <c r="C662" s="5" t="s">
        <v>1380</v>
      </c>
      <c r="D662" s="5" t="s">
        <v>779</v>
      </c>
      <c r="E662" s="6">
        <f t="shared" si="30"/>
        <v>2025</v>
      </c>
      <c r="F662" s="5" t="str">
        <f>INDEX('Data Mahasiswa'!$N$1:$Q$14, MATCH(MID('Data Status Pendaftar'!B662, 5,2), 'Data Mahasiswa'!$N$1:$N$14,0),2)</f>
        <v>Ilmu Sosial</v>
      </c>
      <c r="G662" s="5" t="str" cm="1">
        <f t="array" ref="G662">INDEX('Data Mahasiswa'!$Q$2:$Q$14, MATCH(MID('Data Status Pendaftar'!B662,5,3), 'Data Mahasiswa'!$N$2:$N$14&amp;TEXT('Data Mahasiswa'!$P$2:$P$14,"0"), 0))</f>
        <v>Administrasi Publik</v>
      </c>
      <c r="H662" s="6">
        <f t="shared" ca="1" si="31"/>
        <v>2</v>
      </c>
      <c r="I662" s="7">
        <f>INDEX('Data Mahasiswa'!$A$1:$J$701, MATCH('Data Status Pendaftar'!B662, 'Data Mahasiswa'!$A$1:$A$701, 0), 10)</f>
        <v>2.6979166666666665</v>
      </c>
      <c r="J662" s="5" t="str" cm="1">
        <f t="array" ref="J662">INDEX('Data Mahasiswa'!B662:I662,MATCH(MIN(VLOOKUP('Data Mahasiswa'!B662:I662,'Data Mahasiswa'!$N$27:$O$36,2,0)),VLOOKUP('Data Mahasiswa'!B662:I662,'Data Mahasiswa'!$N$27:$O$36,2,0),0))</f>
        <v>D</v>
      </c>
      <c r="K662" s="5" t="str">
        <f t="shared" si="32"/>
        <v>Tidak Eligible</v>
      </c>
    </row>
    <row r="663" spans="1:11" x14ac:dyDescent="0.3">
      <c r="A663" s="8">
        <v>662</v>
      </c>
      <c r="B663" s="8" t="s">
        <v>712</v>
      </c>
      <c r="C663" s="8" t="s">
        <v>1381</v>
      </c>
      <c r="D663" s="8" t="s">
        <v>780</v>
      </c>
      <c r="E663" s="9">
        <f t="shared" si="30"/>
        <v>2025</v>
      </c>
      <c r="F663" s="8" t="str">
        <f>INDEX('Data Mahasiswa'!$N$1:$Q$14, MATCH(MID('Data Status Pendaftar'!B663, 5,2), 'Data Mahasiswa'!$N$1:$N$14,0),2)</f>
        <v>Ilmu Sosial</v>
      </c>
      <c r="G663" s="8" t="str" cm="1">
        <f t="array" ref="G663">INDEX('Data Mahasiswa'!$Q$2:$Q$14, MATCH(MID('Data Status Pendaftar'!B663,5,3), 'Data Mahasiswa'!$N$2:$N$14&amp;TEXT('Data Mahasiswa'!$P$2:$P$14,"0"), 0))</f>
        <v>Administrasi Publik</v>
      </c>
      <c r="H663" s="9">
        <f t="shared" ca="1" si="31"/>
        <v>2</v>
      </c>
      <c r="I663" s="10">
        <f>INDEX('Data Mahasiswa'!$A$1:$J$701, MATCH('Data Status Pendaftar'!B663, 'Data Mahasiswa'!$A$1:$A$701, 0), 10)</f>
        <v>2.8125</v>
      </c>
      <c r="J663" s="8" t="str" cm="1">
        <f t="array" ref="J663">INDEX('Data Mahasiswa'!B663:I663,MATCH(MIN(VLOOKUP('Data Mahasiswa'!B663:I663,'Data Mahasiswa'!$N$27:$O$36,2,0)),VLOOKUP('Data Mahasiswa'!B663:I663,'Data Mahasiswa'!$N$27:$O$36,2,0),0))</f>
        <v>C</v>
      </c>
      <c r="K663" s="8" t="str">
        <f t="shared" si="32"/>
        <v>Eligible</v>
      </c>
    </row>
    <row r="664" spans="1:11" x14ac:dyDescent="0.3">
      <c r="A664" s="5">
        <v>663</v>
      </c>
      <c r="B664" s="5" t="s">
        <v>713</v>
      </c>
      <c r="C664" s="5" t="s">
        <v>1382</v>
      </c>
      <c r="D664" s="5" t="s">
        <v>780</v>
      </c>
      <c r="E664" s="6">
        <f t="shared" si="30"/>
        <v>2025</v>
      </c>
      <c r="F664" s="5" t="str">
        <f>INDEX('Data Mahasiswa'!$N$1:$Q$14, MATCH(MID('Data Status Pendaftar'!B664, 5,2), 'Data Mahasiswa'!$N$1:$N$14,0),2)</f>
        <v>Ilmu Sosial</v>
      </c>
      <c r="G664" s="5" t="str" cm="1">
        <f t="array" ref="G664">INDEX('Data Mahasiswa'!$Q$2:$Q$14, MATCH(MID('Data Status Pendaftar'!B664,5,3), 'Data Mahasiswa'!$N$2:$N$14&amp;TEXT('Data Mahasiswa'!$P$2:$P$14,"0"), 0))</f>
        <v>Administrasi Publik</v>
      </c>
      <c r="H664" s="6">
        <f t="shared" ca="1" si="31"/>
        <v>2</v>
      </c>
      <c r="I664" s="7">
        <f>INDEX('Data Mahasiswa'!$A$1:$J$701, MATCH('Data Status Pendaftar'!B664, 'Data Mahasiswa'!$A$1:$A$701, 0), 10)</f>
        <v>2.8854166666666665</v>
      </c>
      <c r="J664" s="5" t="str" cm="1">
        <f t="array" ref="J664">INDEX('Data Mahasiswa'!B664:I664,MATCH(MIN(VLOOKUP('Data Mahasiswa'!B664:I664,'Data Mahasiswa'!$N$27:$O$36,2,0)),VLOOKUP('Data Mahasiswa'!B664:I664,'Data Mahasiswa'!$N$27:$O$36,2,0),0))</f>
        <v>E</v>
      </c>
      <c r="K664" s="5" t="str">
        <f t="shared" si="32"/>
        <v>Tidak Eligible</v>
      </c>
    </row>
    <row r="665" spans="1:11" x14ac:dyDescent="0.3">
      <c r="A665" s="8">
        <v>664</v>
      </c>
      <c r="B665" s="8" t="s">
        <v>714</v>
      </c>
      <c r="C665" s="8" t="s">
        <v>1383</v>
      </c>
      <c r="D665" s="8" t="s">
        <v>780</v>
      </c>
      <c r="E665" s="9">
        <f t="shared" si="30"/>
        <v>2025</v>
      </c>
      <c r="F665" s="8" t="str">
        <f>INDEX('Data Mahasiswa'!$N$1:$Q$14, MATCH(MID('Data Status Pendaftar'!B665, 5,2), 'Data Mahasiswa'!$N$1:$N$14,0),2)</f>
        <v>Ilmu Sosial</v>
      </c>
      <c r="G665" s="8" t="str" cm="1">
        <f t="array" ref="G665">INDEX('Data Mahasiswa'!$Q$2:$Q$14, MATCH(MID('Data Status Pendaftar'!B665,5,3), 'Data Mahasiswa'!$N$2:$N$14&amp;TEXT('Data Mahasiswa'!$P$2:$P$14,"0"), 0))</f>
        <v>Administrasi Publik</v>
      </c>
      <c r="H665" s="9">
        <f t="shared" ca="1" si="31"/>
        <v>2</v>
      </c>
      <c r="I665" s="10">
        <f>INDEX('Data Mahasiswa'!$A$1:$J$701, MATCH('Data Status Pendaftar'!B665, 'Data Mahasiswa'!$A$1:$A$701, 0), 10)</f>
        <v>2.8333333333333335</v>
      </c>
      <c r="J665" s="8" t="str" cm="1">
        <f t="array" ref="J665">INDEX('Data Mahasiswa'!B665:I665,MATCH(MIN(VLOOKUP('Data Mahasiswa'!B665:I665,'Data Mahasiswa'!$N$27:$O$36,2,0)),VLOOKUP('Data Mahasiswa'!B665:I665,'Data Mahasiswa'!$N$27:$O$36,2,0),0))</f>
        <v>C</v>
      </c>
      <c r="K665" s="8" t="str">
        <f t="shared" si="32"/>
        <v>Eligible</v>
      </c>
    </row>
    <row r="666" spans="1:11" x14ac:dyDescent="0.3">
      <c r="A666" s="5">
        <v>665</v>
      </c>
      <c r="B666" s="5" t="s">
        <v>715</v>
      </c>
      <c r="C666" s="5" t="s">
        <v>1384</v>
      </c>
      <c r="D666" s="5" t="s">
        <v>779</v>
      </c>
      <c r="E666" s="6">
        <f t="shared" si="30"/>
        <v>2025</v>
      </c>
      <c r="F666" s="5" t="str">
        <f>INDEX('Data Mahasiswa'!$N$1:$Q$14, MATCH(MID('Data Status Pendaftar'!B666, 5,2), 'Data Mahasiswa'!$N$1:$N$14,0),2)</f>
        <v>Ilmu Sosial</v>
      </c>
      <c r="G666" s="5" t="str" cm="1">
        <f t="array" ref="G666">INDEX('Data Mahasiswa'!$Q$2:$Q$14, MATCH(MID('Data Status Pendaftar'!B666,5,3), 'Data Mahasiswa'!$N$2:$N$14&amp;TEXT('Data Mahasiswa'!$P$2:$P$14,"0"), 0))</f>
        <v>Administrasi Publik</v>
      </c>
      <c r="H666" s="6">
        <f t="shared" ca="1" si="31"/>
        <v>2</v>
      </c>
      <c r="I666" s="7">
        <f>INDEX('Data Mahasiswa'!$A$1:$J$701, MATCH('Data Status Pendaftar'!B666, 'Data Mahasiswa'!$A$1:$A$701, 0), 10)</f>
        <v>3.375</v>
      </c>
      <c r="J666" s="5" t="str" cm="1">
        <f t="array" ref="J666">INDEX('Data Mahasiswa'!B666:I666,MATCH(MIN(VLOOKUP('Data Mahasiswa'!B666:I666,'Data Mahasiswa'!$N$27:$O$36,2,0)),VLOOKUP('Data Mahasiswa'!B666:I666,'Data Mahasiswa'!$N$27:$O$36,2,0),0))</f>
        <v>C</v>
      </c>
      <c r="K666" s="5" t="str">
        <f t="shared" si="32"/>
        <v>Eligible</v>
      </c>
    </row>
    <row r="667" spans="1:11" x14ac:dyDescent="0.3">
      <c r="A667" s="8">
        <v>666</v>
      </c>
      <c r="B667" s="8" t="s">
        <v>716</v>
      </c>
      <c r="C667" s="8" t="s">
        <v>1385</v>
      </c>
      <c r="D667" s="8" t="s">
        <v>779</v>
      </c>
      <c r="E667" s="9">
        <f t="shared" si="30"/>
        <v>2025</v>
      </c>
      <c r="F667" s="8" t="str">
        <f>INDEX('Data Mahasiswa'!$N$1:$Q$14, MATCH(MID('Data Status Pendaftar'!B667, 5,2), 'Data Mahasiswa'!$N$1:$N$14,0),2)</f>
        <v>Ilmu Sosial</v>
      </c>
      <c r="G667" s="8" t="str" cm="1">
        <f t="array" ref="G667">INDEX('Data Mahasiswa'!$Q$2:$Q$14, MATCH(MID('Data Status Pendaftar'!B667,5,3), 'Data Mahasiswa'!$N$2:$N$14&amp;TEXT('Data Mahasiswa'!$P$2:$P$14,"0"), 0))</f>
        <v xml:space="preserve"> Ilmu Komunikasi</v>
      </c>
      <c r="H667" s="9">
        <f t="shared" ca="1" si="31"/>
        <v>2</v>
      </c>
      <c r="I667" s="10">
        <f>INDEX('Data Mahasiswa'!$A$1:$J$701, MATCH('Data Status Pendaftar'!B667, 'Data Mahasiswa'!$A$1:$A$701, 0), 10)</f>
        <v>3.375</v>
      </c>
      <c r="J667" s="8" t="str" cm="1">
        <f t="array" ref="J667">INDEX('Data Mahasiswa'!B667:I667,MATCH(MIN(VLOOKUP('Data Mahasiswa'!B667:I667,'Data Mahasiswa'!$N$27:$O$36,2,0)),VLOOKUP('Data Mahasiswa'!B667:I667,'Data Mahasiswa'!$N$27:$O$36,2,0),0))</f>
        <v>C+</v>
      </c>
      <c r="K667" s="8" t="str">
        <f t="shared" si="32"/>
        <v>Eligible</v>
      </c>
    </row>
    <row r="668" spans="1:11" x14ac:dyDescent="0.3">
      <c r="A668" s="5">
        <v>667</v>
      </c>
      <c r="B668" s="5" t="s">
        <v>717</v>
      </c>
      <c r="C668" s="5" t="s">
        <v>1386</v>
      </c>
      <c r="D668" s="5" t="s">
        <v>779</v>
      </c>
      <c r="E668" s="6">
        <f t="shared" si="30"/>
        <v>2025</v>
      </c>
      <c r="F668" s="5" t="str">
        <f>INDEX('Data Mahasiswa'!$N$1:$Q$14, MATCH(MID('Data Status Pendaftar'!B668, 5,2), 'Data Mahasiswa'!$N$1:$N$14,0),2)</f>
        <v>Ilmu Sosial</v>
      </c>
      <c r="G668" s="5" t="str" cm="1">
        <f t="array" ref="G668">INDEX('Data Mahasiswa'!$Q$2:$Q$14, MATCH(MID('Data Status Pendaftar'!B668,5,3), 'Data Mahasiswa'!$N$2:$N$14&amp;TEXT('Data Mahasiswa'!$P$2:$P$14,"0"), 0))</f>
        <v xml:space="preserve"> Ilmu Komunikasi</v>
      </c>
      <c r="H668" s="6">
        <f t="shared" ca="1" si="31"/>
        <v>2</v>
      </c>
      <c r="I668" s="7">
        <f>INDEX('Data Mahasiswa'!$A$1:$J$701, MATCH('Data Status Pendaftar'!B668, 'Data Mahasiswa'!$A$1:$A$701, 0), 10)</f>
        <v>3.1979166666666665</v>
      </c>
      <c r="J668" s="5" t="str" cm="1">
        <f t="array" ref="J668">INDEX('Data Mahasiswa'!B668:I668,MATCH(MIN(VLOOKUP('Data Mahasiswa'!B668:I668,'Data Mahasiswa'!$N$27:$O$36,2,0)),VLOOKUP('Data Mahasiswa'!B668:I668,'Data Mahasiswa'!$N$27:$O$36,2,0),0))</f>
        <v>C</v>
      </c>
      <c r="K668" s="5" t="str">
        <f t="shared" si="32"/>
        <v>Eligible</v>
      </c>
    </row>
    <row r="669" spans="1:11" x14ac:dyDescent="0.3">
      <c r="A669" s="8">
        <v>668</v>
      </c>
      <c r="B669" s="8" t="s">
        <v>718</v>
      </c>
      <c r="C669" s="8" t="s">
        <v>1387</v>
      </c>
      <c r="D669" s="8" t="s">
        <v>779</v>
      </c>
      <c r="E669" s="9">
        <f t="shared" si="30"/>
        <v>2025</v>
      </c>
      <c r="F669" s="8" t="str">
        <f>INDEX('Data Mahasiswa'!$N$1:$Q$14, MATCH(MID('Data Status Pendaftar'!B669, 5,2), 'Data Mahasiswa'!$N$1:$N$14,0),2)</f>
        <v>Ilmu Sosial</v>
      </c>
      <c r="G669" s="8" t="str" cm="1">
        <f t="array" ref="G669">INDEX('Data Mahasiswa'!$Q$2:$Q$14, MATCH(MID('Data Status Pendaftar'!B669,5,3), 'Data Mahasiswa'!$N$2:$N$14&amp;TEXT('Data Mahasiswa'!$P$2:$P$14,"0"), 0))</f>
        <v xml:space="preserve"> Ilmu Komunikasi</v>
      </c>
      <c r="H669" s="9">
        <f t="shared" ca="1" si="31"/>
        <v>2</v>
      </c>
      <c r="I669" s="10">
        <f>INDEX('Data Mahasiswa'!$A$1:$J$701, MATCH('Data Status Pendaftar'!B669, 'Data Mahasiswa'!$A$1:$A$701, 0), 10)</f>
        <v>3.1875</v>
      </c>
      <c r="J669" s="8" t="str" cm="1">
        <f t="array" ref="J669">INDEX('Data Mahasiswa'!B669:I669,MATCH(MIN(VLOOKUP('Data Mahasiswa'!B669:I669,'Data Mahasiswa'!$N$27:$O$36,2,0)),VLOOKUP('Data Mahasiswa'!B669:I669,'Data Mahasiswa'!$N$27:$O$36,2,0),0))</f>
        <v>B-</v>
      </c>
      <c r="K669" s="8" t="str">
        <f t="shared" si="32"/>
        <v>Eligible</v>
      </c>
    </row>
    <row r="670" spans="1:11" x14ac:dyDescent="0.3">
      <c r="A670" s="5">
        <v>669</v>
      </c>
      <c r="B670" s="5" t="s">
        <v>719</v>
      </c>
      <c r="C670" s="5" t="s">
        <v>1388</v>
      </c>
      <c r="D670" s="5" t="s">
        <v>779</v>
      </c>
      <c r="E670" s="6">
        <f t="shared" si="30"/>
        <v>2025</v>
      </c>
      <c r="F670" s="5" t="str">
        <f>INDEX('Data Mahasiswa'!$N$1:$Q$14, MATCH(MID('Data Status Pendaftar'!B670, 5,2), 'Data Mahasiswa'!$N$1:$N$14,0),2)</f>
        <v>Ilmu Sosial</v>
      </c>
      <c r="G670" s="5" t="str" cm="1">
        <f t="array" ref="G670">INDEX('Data Mahasiswa'!$Q$2:$Q$14, MATCH(MID('Data Status Pendaftar'!B670,5,3), 'Data Mahasiswa'!$N$2:$N$14&amp;TEXT('Data Mahasiswa'!$P$2:$P$14,"0"), 0))</f>
        <v xml:space="preserve"> Ilmu Komunikasi</v>
      </c>
      <c r="H670" s="6">
        <f t="shared" ca="1" si="31"/>
        <v>2</v>
      </c>
      <c r="I670" s="7">
        <f>INDEX('Data Mahasiswa'!$A$1:$J$701, MATCH('Data Status Pendaftar'!B670, 'Data Mahasiswa'!$A$1:$A$701, 0), 10)</f>
        <v>2.9791666666666665</v>
      </c>
      <c r="J670" s="5" t="str" cm="1">
        <f t="array" ref="J670">INDEX('Data Mahasiswa'!B670:I670,MATCH(MIN(VLOOKUP('Data Mahasiswa'!B670:I670,'Data Mahasiswa'!$N$27:$O$36,2,0)),VLOOKUP('Data Mahasiswa'!B670:I670,'Data Mahasiswa'!$N$27:$O$36,2,0),0))</f>
        <v>E</v>
      </c>
      <c r="K670" s="5" t="str">
        <f t="shared" si="32"/>
        <v>Tidak Eligible</v>
      </c>
    </row>
    <row r="671" spans="1:11" x14ac:dyDescent="0.3">
      <c r="A671" s="8">
        <v>670</v>
      </c>
      <c r="B671" s="8" t="s">
        <v>720</v>
      </c>
      <c r="C671" s="8" t="s">
        <v>1389</v>
      </c>
      <c r="D671" s="8" t="s">
        <v>779</v>
      </c>
      <c r="E671" s="9">
        <f t="shared" si="30"/>
        <v>2025</v>
      </c>
      <c r="F671" s="8" t="str">
        <f>INDEX('Data Mahasiswa'!$N$1:$Q$14, MATCH(MID('Data Status Pendaftar'!B671, 5,2), 'Data Mahasiswa'!$N$1:$N$14,0),2)</f>
        <v>Ilmu Sosial</v>
      </c>
      <c r="G671" s="8" t="str" cm="1">
        <f t="array" ref="G671">INDEX('Data Mahasiswa'!$Q$2:$Q$14, MATCH(MID('Data Status Pendaftar'!B671,5,3), 'Data Mahasiswa'!$N$2:$N$14&amp;TEXT('Data Mahasiswa'!$P$2:$P$14,"0"), 0))</f>
        <v xml:space="preserve"> Ilmu Komunikasi</v>
      </c>
      <c r="H671" s="9">
        <f t="shared" ca="1" si="31"/>
        <v>2</v>
      </c>
      <c r="I671" s="10">
        <f>INDEX('Data Mahasiswa'!$A$1:$J$701, MATCH('Data Status Pendaftar'!B671, 'Data Mahasiswa'!$A$1:$A$701, 0), 10)</f>
        <v>3</v>
      </c>
      <c r="J671" s="8" t="str" cm="1">
        <f t="array" ref="J671">INDEX('Data Mahasiswa'!B671:I671,MATCH(MIN(VLOOKUP('Data Mahasiswa'!B671:I671,'Data Mahasiswa'!$N$27:$O$36,2,0)),VLOOKUP('Data Mahasiswa'!B671:I671,'Data Mahasiswa'!$N$27:$O$36,2,0),0))</f>
        <v>C</v>
      </c>
      <c r="K671" s="8" t="str">
        <f t="shared" si="32"/>
        <v>Eligible</v>
      </c>
    </row>
    <row r="672" spans="1:11" x14ac:dyDescent="0.3">
      <c r="A672" s="5">
        <v>671</v>
      </c>
      <c r="B672" s="5" t="s">
        <v>721</v>
      </c>
      <c r="C672" s="5" t="s">
        <v>1390</v>
      </c>
      <c r="D672" s="5" t="s">
        <v>779</v>
      </c>
      <c r="E672" s="6">
        <f t="shared" si="30"/>
        <v>2025</v>
      </c>
      <c r="F672" s="5" t="str">
        <f>INDEX('Data Mahasiswa'!$N$1:$Q$14, MATCH(MID('Data Status Pendaftar'!B672, 5,2), 'Data Mahasiswa'!$N$1:$N$14,0),2)</f>
        <v>Ilmu Sosial</v>
      </c>
      <c r="G672" s="5" t="str" cm="1">
        <f t="array" ref="G672">INDEX('Data Mahasiswa'!$Q$2:$Q$14, MATCH(MID('Data Status Pendaftar'!B672,5,3), 'Data Mahasiswa'!$N$2:$N$14&amp;TEXT('Data Mahasiswa'!$P$2:$P$14,"0"), 0))</f>
        <v xml:space="preserve"> Ilmu Komunikasi</v>
      </c>
      <c r="H672" s="6">
        <f t="shared" ca="1" si="31"/>
        <v>2</v>
      </c>
      <c r="I672" s="7">
        <f>INDEX('Data Mahasiswa'!$A$1:$J$701, MATCH('Data Status Pendaftar'!B672, 'Data Mahasiswa'!$A$1:$A$701, 0), 10)</f>
        <v>2.8854166666666665</v>
      </c>
      <c r="J672" s="5" t="str" cm="1">
        <f t="array" ref="J672">INDEX('Data Mahasiswa'!B672:I672,MATCH(MIN(VLOOKUP('Data Mahasiswa'!B672:I672,'Data Mahasiswa'!$N$27:$O$36,2,0)),VLOOKUP('Data Mahasiswa'!B672:I672,'Data Mahasiswa'!$N$27:$O$36,2,0),0))</f>
        <v>E</v>
      </c>
      <c r="K672" s="5" t="str">
        <f t="shared" si="32"/>
        <v>Tidak Eligible</v>
      </c>
    </row>
    <row r="673" spans="1:11" x14ac:dyDescent="0.3">
      <c r="A673" s="8">
        <v>672</v>
      </c>
      <c r="B673" s="8" t="s">
        <v>722</v>
      </c>
      <c r="C673" s="8" t="s">
        <v>1391</v>
      </c>
      <c r="D673" s="8" t="s">
        <v>779</v>
      </c>
      <c r="E673" s="9">
        <f t="shared" si="30"/>
        <v>2025</v>
      </c>
      <c r="F673" s="8" t="str">
        <f>INDEX('Data Mahasiswa'!$N$1:$Q$14, MATCH(MID('Data Status Pendaftar'!B673, 5,2), 'Data Mahasiswa'!$N$1:$N$14,0),2)</f>
        <v>Ilmu Sosial</v>
      </c>
      <c r="G673" s="8" t="str" cm="1">
        <f t="array" ref="G673">INDEX('Data Mahasiswa'!$Q$2:$Q$14, MATCH(MID('Data Status Pendaftar'!B673,5,3), 'Data Mahasiswa'!$N$2:$N$14&amp;TEXT('Data Mahasiswa'!$P$2:$P$14,"0"), 0))</f>
        <v xml:space="preserve"> Ilmu Komunikasi</v>
      </c>
      <c r="H673" s="9">
        <f t="shared" ca="1" si="31"/>
        <v>2</v>
      </c>
      <c r="I673" s="10">
        <f>INDEX('Data Mahasiswa'!$A$1:$J$701, MATCH('Data Status Pendaftar'!B673, 'Data Mahasiswa'!$A$1:$A$701, 0), 10)</f>
        <v>2.9479166666666665</v>
      </c>
      <c r="J673" s="8" t="str" cm="1">
        <f t="array" ref="J673">INDEX('Data Mahasiswa'!B673:I673,MATCH(MIN(VLOOKUP('Data Mahasiswa'!B673:I673,'Data Mahasiswa'!$N$27:$O$36,2,0)),VLOOKUP('Data Mahasiswa'!B673:I673,'Data Mahasiswa'!$N$27:$O$36,2,0),0))</f>
        <v>C+</v>
      </c>
      <c r="K673" s="8" t="str">
        <f t="shared" si="32"/>
        <v>Eligible</v>
      </c>
    </row>
    <row r="674" spans="1:11" x14ac:dyDescent="0.3">
      <c r="A674" s="5">
        <v>673</v>
      </c>
      <c r="B674" s="5" t="s">
        <v>723</v>
      </c>
      <c r="C674" s="5" t="s">
        <v>1392</v>
      </c>
      <c r="D674" s="5" t="s">
        <v>779</v>
      </c>
      <c r="E674" s="6">
        <f t="shared" si="30"/>
        <v>2025</v>
      </c>
      <c r="F674" s="5" t="str">
        <f>INDEX('Data Mahasiswa'!$N$1:$Q$14, MATCH(MID('Data Status Pendaftar'!B674, 5,2), 'Data Mahasiswa'!$N$1:$N$14,0),2)</f>
        <v>Ilmu Sosial</v>
      </c>
      <c r="G674" s="5" t="str" cm="1">
        <f t="array" ref="G674">INDEX('Data Mahasiswa'!$Q$2:$Q$14, MATCH(MID('Data Status Pendaftar'!B674,5,3), 'Data Mahasiswa'!$N$2:$N$14&amp;TEXT('Data Mahasiswa'!$P$2:$P$14,"0"), 0))</f>
        <v xml:space="preserve"> Ilmu Komunikasi</v>
      </c>
      <c r="H674" s="6">
        <f t="shared" ca="1" si="31"/>
        <v>2</v>
      </c>
      <c r="I674" s="7">
        <f>INDEX('Data Mahasiswa'!$A$1:$J$701, MATCH('Data Status Pendaftar'!B674, 'Data Mahasiswa'!$A$1:$A$701, 0), 10)</f>
        <v>3.1041666666666665</v>
      </c>
      <c r="J674" s="5" t="str" cm="1">
        <f t="array" ref="J674">INDEX('Data Mahasiswa'!B674:I674,MATCH(MIN(VLOOKUP('Data Mahasiswa'!B674:I674,'Data Mahasiswa'!$N$27:$O$36,2,0)),VLOOKUP('Data Mahasiswa'!B674:I674,'Data Mahasiswa'!$N$27:$O$36,2,0),0))</f>
        <v>E</v>
      </c>
      <c r="K674" s="5" t="str">
        <f t="shared" si="32"/>
        <v>Tidak Eligible</v>
      </c>
    </row>
    <row r="675" spans="1:11" x14ac:dyDescent="0.3">
      <c r="A675" s="8">
        <v>674</v>
      </c>
      <c r="B675" s="8" t="s">
        <v>724</v>
      </c>
      <c r="C675" s="8" t="s">
        <v>752</v>
      </c>
      <c r="D675" s="8" t="s">
        <v>779</v>
      </c>
      <c r="E675" s="9">
        <f t="shared" si="30"/>
        <v>2025</v>
      </c>
      <c r="F675" s="8" t="str">
        <f>INDEX('Data Mahasiswa'!$N$1:$Q$14, MATCH(MID('Data Status Pendaftar'!B675, 5,2), 'Data Mahasiswa'!$N$1:$N$14,0),2)</f>
        <v>Ilmu Sosial</v>
      </c>
      <c r="G675" s="8" t="str" cm="1">
        <f t="array" ref="G675">INDEX('Data Mahasiswa'!$Q$2:$Q$14, MATCH(MID('Data Status Pendaftar'!B675,5,3), 'Data Mahasiswa'!$N$2:$N$14&amp;TEXT('Data Mahasiswa'!$P$2:$P$14,"0"), 0))</f>
        <v xml:space="preserve"> Ilmu Komunikasi</v>
      </c>
      <c r="H675" s="9">
        <f t="shared" ca="1" si="31"/>
        <v>2</v>
      </c>
      <c r="I675" s="10">
        <f>INDEX('Data Mahasiswa'!$A$1:$J$701, MATCH('Data Status Pendaftar'!B675, 'Data Mahasiswa'!$A$1:$A$701, 0), 10)</f>
        <v>2.9895833333333335</v>
      </c>
      <c r="J675" s="8" t="str" cm="1">
        <f t="array" ref="J675">INDEX('Data Mahasiswa'!B675:I675,MATCH(MIN(VLOOKUP('Data Mahasiswa'!B675:I675,'Data Mahasiswa'!$N$27:$O$36,2,0)),VLOOKUP('Data Mahasiswa'!B675:I675,'Data Mahasiswa'!$N$27:$O$36,2,0),0))</f>
        <v>E</v>
      </c>
      <c r="K675" s="8" t="str">
        <f t="shared" si="32"/>
        <v>Tidak Eligible</v>
      </c>
    </row>
    <row r="676" spans="1:11" x14ac:dyDescent="0.3">
      <c r="A676" s="5">
        <v>675</v>
      </c>
      <c r="B676" s="5" t="s">
        <v>725</v>
      </c>
      <c r="C676" s="5" t="s">
        <v>753</v>
      </c>
      <c r="D676" s="5" t="s">
        <v>779</v>
      </c>
      <c r="E676" s="6">
        <f t="shared" si="30"/>
        <v>2025</v>
      </c>
      <c r="F676" s="5" t="str">
        <f>INDEX('Data Mahasiswa'!$N$1:$Q$14, MATCH(MID('Data Status Pendaftar'!B676, 5,2), 'Data Mahasiswa'!$N$1:$N$14,0),2)</f>
        <v>Ilmu Sosial</v>
      </c>
      <c r="G676" s="5" t="str" cm="1">
        <f t="array" ref="G676">INDEX('Data Mahasiswa'!$Q$2:$Q$14, MATCH(MID('Data Status Pendaftar'!B676,5,3), 'Data Mahasiswa'!$N$2:$N$14&amp;TEXT('Data Mahasiswa'!$P$2:$P$14,"0"), 0))</f>
        <v xml:space="preserve"> Ilmu Komunikasi</v>
      </c>
      <c r="H676" s="6">
        <f t="shared" ca="1" si="31"/>
        <v>2</v>
      </c>
      <c r="I676" s="7">
        <f>INDEX('Data Mahasiswa'!$A$1:$J$701, MATCH('Data Status Pendaftar'!B676, 'Data Mahasiswa'!$A$1:$A$701, 0), 10)</f>
        <v>3.0416666666666665</v>
      </c>
      <c r="J676" s="5" t="str" cm="1">
        <f t="array" ref="J676">INDEX('Data Mahasiswa'!B676:I676,MATCH(MIN(VLOOKUP('Data Mahasiswa'!B676:I676,'Data Mahasiswa'!$N$27:$O$36,2,0)),VLOOKUP('Data Mahasiswa'!B676:I676,'Data Mahasiswa'!$N$27:$O$36,2,0),0))</f>
        <v>C</v>
      </c>
      <c r="K676" s="5" t="str">
        <f t="shared" si="32"/>
        <v>Eligible</v>
      </c>
    </row>
    <row r="677" spans="1:11" x14ac:dyDescent="0.3">
      <c r="A677" s="8">
        <v>676</v>
      </c>
      <c r="B677" s="8" t="s">
        <v>726</v>
      </c>
      <c r="C677" s="8" t="s">
        <v>754</v>
      </c>
      <c r="D677" s="8" t="s">
        <v>779</v>
      </c>
      <c r="E677" s="9">
        <f t="shared" si="30"/>
        <v>2025</v>
      </c>
      <c r="F677" s="8" t="str">
        <f>INDEX('Data Mahasiswa'!$N$1:$Q$14, MATCH(MID('Data Status Pendaftar'!B677, 5,2), 'Data Mahasiswa'!$N$1:$N$14,0),2)</f>
        <v>Ilmu Sosial</v>
      </c>
      <c r="G677" s="8" t="str" cm="1">
        <f t="array" ref="G677">INDEX('Data Mahasiswa'!$Q$2:$Q$14, MATCH(MID('Data Status Pendaftar'!B677,5,3), 'Data Mahasiswa'!$N$2:$N$14&amp;TEXT('Data Mahasiswa'!$P$2:$P$14,"0"), 0))</f>
        <v xml:space="preserve"> Ilmu Komunikasi</v>
      </c>
      <c r="H677" s="9">
        <f t="shared" ca="1" si="31"/>
        <v>2</v>
      </c>
      <c r="I677" s="10">
        <f>INDEX('Data Mahasiswa'!$A$1:$J$701, MATCH('Data Status Pendaftar'!B677, 'Data Mahasiswa'!$A$1:$A$701, 0), 10)</f>
        <v>3.1458333333333335</v>
      </c>
      <c r="J677" s="8" t="str" cm="1">
        <f t="array" ref="J677">INDEX('Data Mahasiswa'!B677:I677,MATCH(MIN(VLOOKUP('Data Mahasiswa'!B677:I677,'Data Mahasiswa'!$N$27:$O$36,2,0)),VLOOKUP('Data Mahasiswa'!B677:I677,'Data Mahasiswa'!$N$27:$O$36,2,0),0))</f>
        <v>D</v>
      </c>
      <c r="K677" s="8" t="str">
        <f t="shared" si="32"/>
        <v>Tidak Eligible</v>
      </c>
    </row>
    <row r="678" spans="1:11" x14ac:dyDescent="0.3">
      <c r="A678" s="5">
        <v>677</v>
      </c>
      <c r="B678" s="5" t="s">
        <v>727</v>
      </c>
      <c r="C678" s="5" t="s">
        <v>755</v>
      </c>
      <c r="D678" s="5" t="s">
        <v>780</v>
      </c>
      <c r="E678" s="6">
        <f t="shared" si="30"/>
        <v>2025</v>
      </c>
      <c r="F678" s="5" t="str">
        <f>INDEX('Data Mahasiswa'!$N$1:$Q$14, MATCH(MID('Data Status Pendaftar'!B678, 5,2), 'Data Mahasiswa'!$N$1:$N$14,0),2)</f>
        <v>Ilmu Sosial</v>
      </c>
      <c r="G678" s="5" t="str" cm="1">
        <f t="array" ref="G678">INDEX('Data Mahasiswa'!$Q$2:$Q$14, MATCH(MID('Data Status Pendaftar'!B678,5,3), 'Data Mahasiswa'!$N$2:$N$14&amp;TEXT('Data Mahasiswa'!$P$2:$P$14,"0"), 0))</f>
        <v xml:space="preserve"> Ilmu Komunikasi</v>
      </c>
      <c r="H678" s="6">
        <f t="shared" ca="1" si="31"/>
        <v>2</v>
      </c>
      <c r="I678" s="7">
        <f>INDEX('Data Mahasiswa'!$A$1:$J$701, MATCH('Data Status Pendaftar'!B678, 'Data Mahasiswa'!$A$1:$A$701, 0), 10)</f>
        <v>2.9791666666666665</v>
      </c>
      <c r="J678" s="5" t="str" cm="1">
        <f t="array" ref="J678">INDEX('Data Mahasiswa'!B678:I678,MATCH(MIN(VLOOKUP('Data Mahasiswa'!B678:I678,'Data Mahasiswa'!$N$27:$O$36,2,0)),VLOOKUP('Data Mahasiswa'!B678:I678,'Data Mahasiswa'!$N$27:$O$36,2,0),0))</f>
        <v>D</v>
      </c>
      <c r="K678" s="5" t="str">
        <f t="shared" si="32"/>
        <v>Tidak Eligible</v>
      </c>
    </row>
    <row r="679" spans="1:11" x14ac:dyDescent="0.3">
      <c r="A679" s="8">
        <v>678</v>
      </c>
      <c r="B679" s="8" t="s">
        <v>728</v>
      </c>
      <c r="C679" s="8" t="s">
        <v>756</v>
      </c>
      <c r="D679" s="8" t="s">
        <v>779</v>
      </c>
      <c r="E679" s="9">
        <f t="shared" si="30"/>
        <v>2025</v>
      </c>
      <c r="F679" s="8" t="str">
        <f>INDEX('Data Mahasiswa'!$N$1:$Q$14, MATCH(MID('Data Status Pendaftar'!B679, 5,2), 'Data Mahasiswa'!$N$1:$N$14,0),2)</f>
        <v>Ilmu Sosial</v>
      </c>
      <c r="G679" s="8" t="str" cm="1">
        <f t="array" ref="G679">INDEX('Data Mahasiswa'!$Q$2:$Q$14, MATCH(MID('Data Status Pendaftar'!B679,5,3), 'Data Mahasiswa'!$N$2:$N$14&amp;TEXT('Data Mahasiswa'!$P$2:$P$14,"0"), 0))</f>
        <v xml:space="preserve"> Ilmu Komunikasi</v>
      </c>
      <c r="H679" s="9">
        <f t="shared" ca="1" si="31"/>
        <v>2</v>
      </c>
      <c r="I679" s="10">
        <f>INDEX('Data Mahasiswa'!$A$1:$J$701, MATCH('Data Status Pendaftar'!B679, 'Data Mahasiswa'!$A$1:$A$701, 0), 10)</f>
        <v>3.25</v>
      </c>
      <c r="J679" s="8" t="str" cm="1">
        <f t="array" ref="J679">INDEX('Data Mahasiswa'!B679:I679,MATCH(MIN(VLOOKUP('Data Mahasiswa'!B679:I679,'Data Mahasiswa'!$N$27:$O$36,2,0)),VLOOKUP('Data Mahasiswa'!B679:I679,'Data Mahasiswa'!$N$27:$O$36,2,0),0))</f>
        <v>C+</v>
      </c>
      <c r="K679" s="8" t="str">
        <f t="shared" si="32"/>
        <v>Eligible</v>
      </c>
    </row>
    <row r="680" spans="1:11" x14ac:dyDescent="0.3">
      <c r="A680" s="5">
        <v>679</v>
      </c>
      <c r="B680" s="5" t="s">
        <v>729</v>
      </c>
      <c r="C680" s="5" t="s">
        <v>757</v>
      </c>
      <c r="D680" s="5" t="s">
        <v>780</v>
      </c>
      <c r="E680" s="6">
        <f t="shared" si="30"/>
        <v>2025</v>
      </c>
      <c r="F680" s="5" t="str">
        <f>INDEX('Data Mahasiswa'!$N$1:$Q$14, MATCH(MID('Data Status Pendaftar'!B680, 5,2), 'Data Mahasiswa'!$N$1:$N$14,0),2)</f>
        <v>Ilmu Sosial</v>
      </c>
      <c r="G680" s="5" t="str" cm="1">
        <f t="array" ref="G680">INDEX('Data Mahasiswa'!$Q$2:$Q$14, MATCH(MID('Data Status Pendaftar'!B680,5,3), 'Data Mahasiswa'!$N$2:$N$14&amp;TEXT('Data Mahasiswa'!$P$2:$P$14,"0"), 0))</f>
        <v xml:space="preserve"> Ilmu Komunikasi</v>
      </c>
      <c r="H680" s="6">
        <f t="shared" ca="1" si="31"/>
        <v>2</v>
      </c>
      <c r="I680" s="7">
        <f>INDEX('Data Mahasiswa'!$A$1:$J$701, MATCH('Data Status Pendaftar'!B680, 'Data Mahasiswa'!$A$1:$A$701, 0), 10)</f>
        <v>2.78125</v>
      </c>
      <c r="J680" s="5" t="str" cm="1">
        <f t="array" ref="J680">INDEX('Data Mahasiswa'!B680:I680,MATCH(MIN(VLOOKUP('Data Mahasiswa'!B680:I680,'Data Mahasiswa'!$N$27:$O$36,2,0)),VLOOKUP('Data Mahasiswa'!B680:I680,'Data Mahasiswa'!$N$27:$O$36,2,0),0))</f>
        <v>D</v>
      </c>
      <c r="K680" s="5" t="str">
        <f t="shared" si="32"/>
        <v>Tidak Eligible</v>
      </c>
    </row>
    <row r="681" spans="1:11" x14ac:dyDescent="0.3">
      <c r="A681" s="8">
        <v>680</v>
      </c>
      <c r="B681" s="8" t="s">
        <v>730</v>
      </c>
      <c r="C681" s="8" t="s">
        <v>758</v>
      </c>
      <c r="D681" s="8" t="s">
        <v>780</v>
      </c>
      <c r="E681" s="9">
        <f t="shared" si="30"/>
        <v>2025</v>
      </c>
      <c r="F681" s="8" t="str">
        <f>INDEX('Data Mahasiswa'!$N$1:$Q$14, MATCH(MID('Data Status Pendaftar'!B681, 5,2), 'Data Mahasiswa'!$N$1:$N$14,0),2)</f>
        <v>Ilmu Sosial</v>
      </c>
      <c r="G681" s="8" t="str" cm="1">
        <f t="array" ref="G681">INDEX('Data Mahasiswa'!$Q$2:$Q$14, MATCH(MID('Data Status Pendaftar'!B681,5,3), 'Data Mahasiswa'!$N$2:$N$14&amp;TEXT('Data Mahasiswa'!$P$2:$P$14,"0"), 0))</f>
        <v xml:space="preserve"> Ilmu Komunikasi</v>
      </c>
      <c r="H681" s="9">
        <f t="shared" ca="1" si="31"/>
        <v>2</v>
      </c>
      <c r="I681" s="10">
        <f>INDEX('Data Mahasiswa'!$A$1:$J$701, MATCH('Data Status Pendaftar'!B681, 'Data Mahasiswa'!$A$1:$A$701, 0), 10)</f>
        <v>3.1875</v>
      </c>
      <c r="J681" s="8" t="str" cm="1">
        <f t="array" ref="J681">INDEX('Data Mahasiswa'!B681:I681,MATCH(MIN(VLOOKUP('Data Mahasiswa'!B681:I681,'Data Mahasiswa'!$N$27:$O$36,2,0)),VLOOKUP('Data Mahasiswa'!B681:I681,'Data Mahasiswa'!$N$27:$O$36,2,0),0))</f>
        <v>B-</v>
      </c>
      <c r="K681" s="8" t="str">
        <f t="shared" si="32"/>
        <v>Eligible</v>
      </c>
    </row>
    <row r="682" spans="1:11" x14ac:dyDescent="0.3">
      <c r="A682" s="5">
        <v>681</v>
      </c>
      <c r="B682" s="5" t="s">
        <v>731</v>
      </c>
      <c r="C682" s="5" t="s">
        <v>759</v>
      </c>
      <c r="D682" s="5" t="s">
        <v>779</v>
      </c>
      <c r="E682" s="6">
        <f t="shared" si="30"/>
        <v>2025</v>
      </c>
      <c r="F682" s="5" t="str">
        <f>INDEX('Data Mahasiswa'!$N$1:$Q$14, MATCH(MID('Data Status Pendaftar'!B682, 5,2), 'Data Mahasiswa'!$N$1:$N$14,0),2)</f>
        <v>Ilmu Sosial</v>
      </c>
      <c r="G682" s="5" t="str" cm="1">
        <f t="array" ref="G682">INDEX('Data Mahasiswa'!$Q$2:$Q$14, MATCH(MID('Data Status Pendaftar'!B682,5,3), 'Data Mahasiswa'!$N$2:$N$14&amp;TEXT('Data Mahasiswa'!$P$2:$P$14,"0"), 0))</f>
        <v xml:space="preserve"> Ilmu Komunikasi</v>
      </c>
      <c r="H682" s="6">
        <f t="shared" ca="1" si="31"/>
        <v>2</v>
      </c>
      <c r="I682" s="7">
        <f>INDEX('Data Mahasiswa'!$A$1:$J$701, MATCH('Data Status Pendaftar'!B682, 'Data Mahasiswa'!$A$1:$A$701, 0), 10)</f>
        <v>3.4270833333333335</v>
      </c>
      <c r="J682" s="5" t="str" cm="1">
        <f t="array" ref="J682">INDEX('Data Mahasiswa'!B682:I682,MATCH(MIN(VLOOKUP('Data Mahasiswa'!B682:I682,'Data Mahasiswa'!$N$27:$O$36,2,0)),VLOOKUP('Data Mahasiswa'!B682:I682,'Data Mahasiswa'!$N$27:$O$36,2,0),0))</f>
        <v>B-</v>
      </c>
      <c r="K682" s="5" t="str">
        <f t="shared" si="32"/>
        <v>Eligible</v>
      </c>
    </row>
    <row r="683" spans="1:11" x14ac:dyDescent="0.3">
      <c r="A683" s="8">
        <v>682</v>
      </c>
      <c r="B683" s="8" t="s">
        <v>732</v>
      </c>
      <c r="C683" s="8" t="s">
        <v>760</v>
      </c>
      <c r="D683" s="8" t="s">
        <v>779</v>
      </c>
      <c r="E683" s="9">
        <f t="shared" si="30"/>
        <v>2025</v>
      </c>
      <c r="F683" s="8" t="str">
        <f>INDEX('Data Mahasiswa'!$N$1:$Q$14, MATCH(MID('Data Status Pendaftar'!B683, 5,2), 'Data Mahasiswa'!$N$1:$N$14,0),2)</f>
        <v>Ilmu Sosial</v>
      </c>
      <c r="G683" s="8" t="str" cm="1">
        <f t="array" ref="G683">INDEX('Data Mahasiswa'!$Q$2:$Q$14, MATCH(MID('Data Status Pendaftar'!B683,5,3), 'Data Mahasiswa'!$N$2:$N$14&amp;TEXT('Data Mahasiswa'!$P$2:$P$14,"0"), 0))</f>
        <v xml:space="preserve"> Ilmu Komunikasi</v>
      </c>
      <c r="H683" s="9">
        <f t="shared" ca="1" si="31"/>
        <v>2</v>
      </c>
      <c r="I683" s="10">
        <f>INDEX('Data Mahasiswa'!$A$1:$J$701, MATCH('Data Status Pendaftar'!B683, 'Data Mahasiswa'!$A$1:$A$701, 0), 10)</f>
        <v>3.0416666666666665</v>
      </c>
      <c r="J683" s="8" t="str" cm="1">
        <f t="array" ref="J683">INDEX('Data Mahasiswa'!B683:I683,MATCH(MIN(VLOOKUP('Data Mahasiswa'!B683:I683,'Data Mahasiswa'!$N$27:$O$36,2,0)),VLOOKUP('Data Mahasiswa'!B683:I683,'Data Mahasiswa'!$N$27:$O$36,2,0),0))</f>
        <v>C+</v>
      </c>
      <c r="K683" s="8" t="str">
        <f t="shared" si="32"/>
        <v>Eligible</v>
      </c>
    </row>
    <row r="684" spans="1:11" x14ac:dyDescent="0.3">
      <c r="A684" s="5">
        <v>683</v>
      </c>
      <c r="B684" s="5" t="s">
        <v>733</v>
      </c>
      <c r="C684" s="5" t="s">
        <v>761</v>
      </c>
      <c r="D684" s="5" t="s">
        <v>780</v>
      </c>
      <c r="E684" s="6">
        <f t="shared" si="30"/>
        <v>2025</v>
      </c>
      <c r="F684" s="5" t="str">
        <f>INDEX('Data Mahasiswa'!$N$1:$Q$14, MATCH(MID('Data Status Pendaftar'!B684, 5,2), 'Data Mahasiswa'!$N$1:$N$14,0),2)</f>
        <v>Ilmu Sosial</v>
      </c>
      <c r="G684" s="5" t="str" cm="1">
        <f t="array" ref="G684">INDEX('Data Mahasiswa'!$Q$2:$Q$14, MATCH(MID('Data Status Pendaftar'!B684,5,3), 'Data Mahasiswa'!$N$2:$N$14&amp;TEXT('Data Mahasiswa'!$P$2:$P$14,"0"), 0))</f>
        <v xml:space="preserve"> Ilmu Komunikasi</v>
      </c>
      <c r="H684" s="6">
        <f t="shared" ca="1" si="31"/>
        <v>2</v>
      </c>
      <c r="I684" s="7">
        <f>INDEX('Data Mahasiswa'!$A$1:$J$701, MATCH('Data Status Pendaftar'!B684, 'Data Mahasiswa'!$A$1:$A$701, 0), 10)</f>
        <v>3.2083333333333335</v>
      </c>
      <c r="J684" s="5" t="str" cm="1">
        <f t="array" ref="J684">INDEX('Data Mahasiswa'!B684:I684,MATCH(MIN(VLOOKUP('Data Mahasiswa'!B684:I684,'Data Mahasiswa'!$N$27:$O$36,2,0)),VLOOKUP('Data Mahasiswa'!B684:I684,'Data Mahasiswa'!$N$27:$O$36,2,0),0))</f>
        <v>C+</v>
      </c>
      <c r="K684" s="5" t="str">
        <f t="shared" si="32"/>
        <v>Eligible</v>
      </c>
    </row>
    <row r="685" spans="1:11" x14ac:dyDescent="0.3">
      <c r="A685" s="8">
        <v>684</v>
      </c>
      <c r="B685" s="8" t="s">
        <v>734</v>
      </c>
      <c r="C685" s="8" t="s">
        <v>762</v>
      </c>
      <c r="D685" s="8" t="s">
        <v>779</v>
      </c>
      <c r="E685" s="9">
        <f t="shared" si="30"/>
        <v>2025</v>
      </c>
      <c r="F685" s="8" t="str">
        <f>INDEX('Data Mahasiswa'!$N$1:$Q$14, MATCH(MID('Data Status Pendaftar'!B685, 5,2), 'Data Mahasiswa'!$N$1:$N$14,0),2)</f>
        <v>Ilmu Sosial</v>
      </c>
      <c r="G685" s="8" t="str" cm="1">
        <f t="array" ref="G685">INDEX('Data Mahasiswa'!$Q$2:$Q$14, MATCH(MID('Data Status Pendaftar'!B685,5,3), 'Data Mahasiswa'!$N$2:$N$14&amp;TEXT('Data Mahasiswa'!$P$2:$P$14,"0"), 0))</f>
        <v>Sosiologi</v>
      </c>
      <c r="H685" s="9">
        <f t="shared" ca="1" si="31"/>
        <v>2</v>
      </c>
      <c r="I685" s="10">
        <f>INDEX('Data Mahasiswa'!$A$1:$J$701, MATCH('Data Status Pendaftar'!B685, 'Data Mahasiswa'!$A$1:$A$701, 0), 10)</f>
        <v>2.0208333333333335</v>
      </c>
      <c r="J685" s="8" t="str" cm="1">
        <f t="array" ref="J685">INDEX('Data Mahasiswa'!B685:I685,MATCH(MIN(VLOOKUP('Data Mahasiswa'!B685:I685,'Data Mahasiswa'!$N$27:$O$36,2,0)),VLOOKUP('Data Mahasiswa'!B685:I685,'Data Mahasiswa'!$N$27:$O$36,2,0),0))</f>
        <v>E</v>
      </c>
      <c r="K685" s="8" t="str">
        <f t="shared" si="32"/>
        <v>Tidak Eligible</v>
      </c>
    </row>
    <row r="686" spans="1:11" x14ac:dyDescent="0.3">
      <c r="A686" s="5">
        <v>685</v>
      </c>
      <c r="B686" s="5" t="s">
        <v>735</v>
      </c>
      <c r="C686" s="5" t="s">
        <v>763</v>
      </c>
      <c r="D686" s="5" t="s">
        <v>780</v>
      </c>
      <c r="E686" s="6">
        <f t="shared" si="30"/>
        <v>2025</v>
      </c>
      <c r="F686" s="5" t="str">
        <f>INDEX('Data Mahasiswa'!$N$1:$Q$14, MATCH(MID('Data Status Pendaftar'!B686, 5,2), 'Data Mahasiswa'!$N$1:$N$14,0),2)</f>
        <v>Ilmu Sosial</v>
      </c>
      <c r="G686" s="5" t="str" cm="1">
        <f t="array" ref="G686">INDEX('Data Mahasiswa'!$Q$2:$Q$14, MATCH(MID('Data Status Pendaftar'!B686,5,3), 'Data Mahasiswa'!$N$2:$N$14&amp;TEXT('Data Mahasiswa'!$P$2:$P$14,"0"), 0))</f>
        <v>Sosiologi</v>
      </c>
      <c r="H686" s="6">
        <f t="shared" ca="1" si="31"/>
        <v>2</v>
      </c>
      <c r="I686" s="7">
        <f>INDEX('Data Mahasiswa'!$A$1:$J$701, MATCH('Data Status Pendaftar'!B686, 'Data Mahasiswa'!$A$1:$A$701, 0), 10)</f>
        <v>3.0520833333333335</v>
      </c>
      <c r="J686" s="5" t="str" cm="1">
        <f t="array" ref="J686">INDEX('Data Mahasiswa'!B686:I686,MATCH(MIN(VLOOKUP('Data Mahasiswa'!B686:I686,'Data Mahasiswa'!$N$27:$O$36,2,0)),VLOOKUP('Data Mahasiswa'!B686:I686,'Data Mahasiswa'!$N$27:$O$36,2,0),0))</f>
        <v>C</v>
      </c>
      <c r="K686" s="5" t="str">
        <f t="shared" si="32"/>
        <v>Eligible</v>
      </c>
    </row>
    <row r="687" spans="1:11" x14ac:dyDescent="0.3">
      <c r="A687" s="8">
        <v>686</v>
      </c>
      <c r="B687" s="8" t="s">
        <v>736</v>
      </c>
      <c r="C687" s="8" t="s">
        <v>764</v>
      </c>
      <c r="D687" s="8" t="s">
        <v>780</v>
      </c>
      <c r="E687" s="9">
        <f t="shared" si="30"/>
        <v>2025</v>
      </c>
      <c r="F687" s="8" t="str">
        <f>INDEX('Data Mahasiswa'!$N$1:$Q$14, MATCH(MID('Data Status Pendaftar'!B687, 5,2), 'Data Mahasiswa'!$N$1:$N$14,0),2)</f>
        <v>Ilmu Sosial</v>
      </c>
      <c r="G687" s="8" t="str" cm="1">
        <f t="array" ref="G687">INDEX('Data Mahasiswa'!$Q$2:$Q$14, MATCH(MID('Data Status Pendaftar'!B687,5,3), 'Data Mahasiswa'!$N$2:$N$14&amp;TEXT('Data Mahasiswa'!$P$2:$P$14,"0"), 0))</f>
        <v>Sosiologi</v>
      </c>
      <c r="H687" s="9">
        <f t="shared" ca="1" si="31"/>
        <v>2</v>
      </c>
      <c r="I687" s="10">
        <f>INDEX('Data Mahasiswa'!$A$1:$J$701, MATCH('Data Status Pendaftar'!B687, 'Data Mahasiswa'!$A$1:$A$701, 0), 10)</f>
        <v>2.9166666666666665</v>
      </c>
      <c r="J687" s="8" t="str" cm="1">
        <f t="array" ref="J687">INDEX('Data Mahasiswa'!B687:I687,MATCH(MIN(VLOOKUP('Data Mahasiswa'!B687:I687,'Data Mahasiswa'!$N$27:$O$36,2,0)),VLOOKUP('Data Mahasiswa'!B687:I687,'Data Mahasiswa'!$N$27:$O$36,2,0),0))</f>
        <v>C</v>
      </c>
      <c r="K687" s="8" t="str">
        <f t="shared" si="32"/>
        <v>Eligible</v>
      </c>
    </row>
    <row r="688" spans="1:11" x14ac:dyDescent="0.3">
      <c r="A688" s="5">
        <v>687</v>
      </c>
      <c r="B688" s="5" t="s">
        <v>737</v>
      </c>
      <c r="C688" s="5" t="s">
        <v>765</v>
      </c>
      <c r="D688" s="5" t="s">
        <v>780</v>
      </c>
      <c r="E688" s="6">
        <f t="shared" si="30"/>
        <v>2025</v>
      </c>
      <c r="F688" s="5" t="str">
        <f>INDEX('Data Mahasiswa'!$N$1:$Q$14, MATCH(MID('Data Status Pendaftar'!B688, 5,2), 'Data Mahasiswa'!$N$1:$N$14,0),2)</f>
        <v>Ilmu Sosial</v>
      </c>
      <c r="G688" s="5" t="str" cm="1">
        <f t="array" ref="G688">INDEX('Data Mahasiswa'!$Q$2:$Q$14, MATCH(MID('Data Status Pendaftar'!B688,5,3), 'Data Mahasiswa'!$N$2:$N$14&amp;TEXT('Data Mahasiswa'!$P$2:$P$14,"0"), 0))</f>
        <v>Sosiologi</v>
      </c>
      <c r="H688" s="6">
        <f t="shared" ca="1" si="31"/>
        <v>2</v>
      </c>
      <c r="I688" s="7">
        <f>INDEX('Data Mahasiswa'!$A$1:$J$701, MATCH('Data Status Pendaftar'!B688, 'Data Mahasiswa'!$A$1:$A$701, 0), 10)</f>
        <v>3.7604166666666665</v>
      </c>
      <c r="J688" s="5" t="str" cm="1">
        <f t="array" ref="J688">INDEX('Data Mahasiswa'!B688:I688,MATCH(MIN(VLOOKUP('Data Mahasiswa'!B688:I688,'Data Mahasiswa'!$N$27:$O$36,2,0)),VLOOKUP('Data Mahasiswa'!B688:I688,'Data Mahasiswa'!$N$27:$O$36,2,0),0))</f>
        <v>B</v>
      </c>
      <c r="K688" s="5" t="str">
        <f t="shared" si="32"/>
        <v>Eligible</v>
      </c>
    </row>
    <row r="689" spans="1:11" x14ac:dyDescent="0.3">
      <c r="A689" s="8">
        <v>688</v>
      </c>
      <c r="B689" s="8" t="s">
        <v>738</v>
      </c>
      <c r="C689" s="8" t="s">
        <v>766</v>
      </c>
      <c r="D689" s="8" t="s">
        <v>779</v>
      </c>
      <c r="E689" s="9">
        <f t="shared" si="30"/>
        <v>2025</v>
      </c>
      <c r="F689" s="8" t="str">
        <f>INDEX('Data Mahasiswa'!$N$1:$Q$14, MATCH(MID('Data Status Pendaftar'!B689, 5,2), 'Data Mahasiswa'!$N$1:$N$14,0),2)</f>
        <v>Ilmu Sosial</v>
      </c>
      <c r="G689" s="8" t="str" cm="1">
        <f t="array" ref="G689">INDEX('Data Mahasiswa'!$Q$2:$Q$14, MATCH(MID('Data Status Pendaftar'!B689,5,3), 'Data Mahasiswa'!$N$2:$N$14&amp;TEXT('Data Mahasiswa'!$P$2:$P$14,"0"), 0))</f>
        <v>Sosiologi</v>
      </c>
      <c r="H689" s="9">
        <f t="shared" ca="1" si="31"/>
        <v>2</v>
      </c>
      <c r="I689" s="10">
        <f>INDEX('Data Mahasiswa'!$A$1:$J$701, MATCH('Data Status Pendaftar'!B689, 'Data Mahasiswa'!$A$1:$A$701, 0), 10)</f>
        <v>2.6041666666666665</v>
      </c>
      <c r="J689" s="8" t="str" cm="1">
        <f t="array" ref="J689">INDEX('Data Mahasiswa'!B689:I689,MATCH(MIN(VLOOKUP('Data Mahasiswa'!B689:I689,'Data Mahasiswa'!$N$27:$O$36,2,0)),VLOOKUP('Data Mahasiswa'!B689:I689,'Data Mahasiswa'!$N$27:$O$36,2,0),0))</f>
        <v>E</v>
      </c>
      <c r="K689" s="8" t="str">
        <f t="shared" si="32"/>
        <v>Tidak Eligible</v>
      </c>
    </row>
    <row r="690" spans="1:11" x14ac:dyDescent="0.3">
      <c r="A690" s="5">
        <v>689</v>
      </c>
      <c r="B690" s="5" t="s">
        <v>739</v>
      </c>
      <c r="C690" s="5" t="s">
        <v>767</v>
      </c>
      <c r="D690" s="5" t="s">
        <v>779</v>
      </c>
      <c r="E690" s="6">
        <f t="shared" si="30"/>
        <v>2025</v>
      </c>
      <c r="F690" s="5" t="str">
        <f>INDEX('Data Mahasiswa'!$N$1:$Q$14, MATCH(MID('Data Status Pendaftar'!B690, 5,2), 'Data Mahasiswa'!$N$1:$N$14,0),2)</f>
        <v>Ilmu Sosial</v>
      </c>
      <c r="G690" s="5" t="str" cm="1">
        <f t="array" ref="G690">INDEX('Data Mahasiswa'!$Q$2:$Q$14, MATCH(MID('Data Status Pendaftar'!B690,5,3), 'Data Mahasiswa'!$N$2:$N$14&amp;TEXT('Data Mahasiswa'!$P$2:$P$14,"0"), 0))</f>
        <v>Sosiologi</v>
      </c>
      <c r="H690" s="6">
        <f t="shared" ca="1" si="31"/>
        <v>2</v>
      </c>
      <c r="I690" s="7">
        <f>INDEX('Data Mahasiswa'!$A$1:$J$701, MATCH('Data Status Pendaftar'!B690, 'Data Mahasiswa'!$A$1:$A$701, 0), 10)</f>
        <v>2.8229166666666665</v>
      </c>
      <c r="J690" s="5" t="str" cm="1">
        <f t="array" ref="J690">INDEX('Data Mahasiswa'!B690:I690,MATCH(MIN(VLOOKUP('Data Mahasiswa'!B690:I690,'Data Mahasiswa'!$N$27:$O$36,2,0)),VLOOKUP('Data Mahasiswa'!B690:I690,'Data Mahasiswa'!$N$27:$O$36,2,0),0))</f>
        <v>C</v>
      </c>
      <c r="K690" s="5" t="str">
        <f t="shared" si="32"/>
        <v>Eligible</v>
      </c>
    </row>
    <row r="691" spans="1:11" x14ac:dyDescent="0.3">
      <c r="A691" s="8">
        <v>690</v>
      </c>
      <c r="B691" s="8" t="s">
        <v>740</v>
      </c>
      <c r="C691" s="8" t="s">
        <v>768</v>
      </c>
      <c r="D691" s="8" t="s">
        <v>779</v>
      </c>
      <c r="E691" s="9">
        <f t="shared" si="30"/>
        <v>2025</v>
      </c>
      <c r="F691" s="8" t="str">
        <f>INDEX('Data Mahasiswa'!$N$1:$Q$14, MATCH(MID('Data Status Pendaftar'!B691, 5,2), 'Data Mahasiswa'!$N$1:$N$14,0),2)</f>
        <v>Ilmu Sosial</v>
      </c>
      <c r="G691" s="8" t="str" cm="1">
        <f t="array" ref="G691">INDEX('Data Mahasiswa'!$Q$2:$Q$14, MATCH(MID('Data Status Pendaftar'!B691,5,3), 'Data Mahasiswa'!$N$2:$N$14&amp;TEXT('Data Mahasiswa'!$P$2:$P$14,"0"), 0))</f>
        <v>Sosiologi</v>
      </c>
      <c r="H691" s="9">
        <f t="shared" ca="1" si="31"/>
        <v>2</v>
      </c>
      <c r="I691" s="10">
        <f>INDEX('Data Mahasiswa'!$A$1:$J$701, MATCH('Data Status Pendaftar'!B691, 'Data Mahasiswa'!$A$1:$A$701, 0), 10)</f>
        <v>2.6979166666666665</v>
      </c>
      <c r="J691" s="8" t="str" cm="1">
        <f t="array" ref="J691">INDEX('Data Mahasiswa'!B691:I691,MATCH(MIN(VLOOKUP('Data Mahasiswa'!B691:I691,'Data Mahasiswa'!$N$27:$O$36,2,0)),VLOOKUP('Data Mahasiswa'!B691:I691,'Data Mahasiswa'!$N$27:$O$36,2,0),0))</f>
        <v>D</v>
      </c>
      <c r="K691" s="8" t="str">
        <f t="shared" si="32"/>
        <v>Tidak Eligible</v>
      </c>
    </row>
    <row r="692" spans="1:11" x14ac:dyDescent="0.3">
      <c r="A692" s="5">
        <v>691</v>
      </c>
      <c r="B692" s="5" t="s">
        <v>741</v>
      </c>
      <c r="C692" s="5" t="s">
        <v>769</v>
      </c>
      <c r="D692" s="5" t="s">
        <v>780</v>
      </c>
      <c r="E692" s="6">
        <f t="shared" si="30"/>
        <v>2025</v>
      </c>
      <c r="F692" s="5" t="str">
        <f>INDEX('Data Mahasiswa'!$N$1:$Q$14, MATCH(MID('Data Status Pendaftar'!B692, 5,2), 'Data Mahasiswa'!$N$1:$N$14,0),2)</f>
        <v>Ilmu Sosial</v>
      </c>
      <c r="G692" s="5" t="str" cm="1">
        <f t="array" ref="G692">INDEX('Data Mahasiswa'!$Q$2:$Q$14, MATCH(MID('Data Status Pendaftar'!B692,5,3), 'Data Mahasiswa'!$N$2:$N$14&amp;TEXT('Data Mahasiswa'!$P$2:$P$14,"0"), 0))</f>
        <v>Sosiologi</v>
      </c>
      <c r="H692" s="6">
        <f t="shared" ca="1" si="31"/>
        <v>2</v>
      </c>
      <c r="I692" s="7">
        <f>INDEX('Data Mahasiswa'!$A$1:$J$701, MATCH('Data Status Pendaftar'!B692, 'Data Mahasiswa'!$A$1:$A$701, 0), 10)</f>
        <v>3.375</v>
      </c>
      <c r="J692" s="5" t="str" cm="1">
        <f t="array" ref="J692">INDEX('Data Mahasiswa'!B692:I692,MATCH(MIN(VLOOKUP('Data Mahasiswa'!B692:I692,'Data Mahasiswa'!$N$27:$O$36,2,0)),VLOOKUP('Data Mahasiswa'!B692:I692,'Data Mahasiswa'!$N$27:$O$36,2,0),0))</f>
        <v>C+</v>
      </c>
      <c r="K692" s="5" t="str">
        <f t="shared" si="32"/>
        <v>Eligible</v>
      </c>
    </row>
    <row r="693" spans="1:11" x14ac:dyDescent="0.3">
      <c r="A693" s="8">
        <v>692</v>
      </c>
      <c r="B693" s="8" t="s">
        <v>742</v>
      </c>
      <c r="C693" s="8" t="s">
        <v>770</v>
      </c>
      <c r="D693" s="8" t="s">
        <v>779</v>
      </c>
      <c r="E693" s="9">
        <f t="shared" si="30"/>
        <v>2025</v>
      </c>
      <c r="F693" s="8" t="str">
        <f>INDEX('Data Mahasiswa'!$N$1:$Q$14, MATCH(MID('Data Status Pendaftar'!B693, 5,2), 'Data Mahasiswa'!$N$1:$N$14,0),2)</f>
        <v>Ilmu Sosial</v>
      </c>
      <c r="G693" s="8" t="str" cm="1">
        <f t="array" ref="G693">INDEX('Data Mahasiswa'!$Q$2:$Q$14, MATCH(MID('Data Status Pendaftar'!B693,5,3), 'Data Mahasiswa'!$N$2:$N$14&amp;TEXT('Data Mahasiswa'!$P$2:$P$14,"0"), 0))</f>
        <v>Sosiologi</v>
      </c>
      <c r="H693" s="9">
        <f t="shared" ca="1" si="31"/>
        <v>2</v>
      </c>
      <c r="I693" s="10">
        <f>INDEX('Data Mahasiswa'!$A$1:$J$701, MATCH('Data Status Pendaftar'!B693, 'Data Mahasiswa'!$A$1:$A$701, 0), 10)</f>
        <v>2.59375</v>
      </c>
      <c r="J693" s="8" t="str" cm="1">
        <f t="array" ref="J693">INDEX('Data Mahasiswa'!B693:I693,MATCH(MIN(VLOOKUP('Data Mahasiswa'!B693:I693,'Data Mahasiswa'!$N$27:$O$36,2,0)),VLOOKUP('Data Mahasiswa'!B693:I693,'Data Mahasiswa'!$N$27:$O$36,2,0),0))</f>
        <v>D</v>
      </c>
      <c r="K693" s="8" t="str">
        <f t="shared" si="32"/>
        <v>Tidak Eligible</v>
      </c>
    </row>
    <row r="694" spans="1:11" x14ac:dyDescent="0.3">
      <c r="A694" s="5">
        <v>693</v>
      </c>
      <c r="B694" s="5" t="s">
        <v>743</v>
      </c>
      <c r="C694" s="5" t="s">
        <v>771</v>
      </c>
      <c r="D694" s="5" t="s">
        <v>780</v>
      </c>
      <c r="E694" s="6">
        <f t="shared" si="30"/>
        <v>2025</v>
      </c>
      <c r="F694" s="5" t="str">
        <f>INDEX('Data Mahasiswa'!$N$1:$Q$14, MATCH(MID('Data Status Pendaftar'!B694, 5,2), 'Data Mahasiswa'!$N$1:$N$14,0),2)</f>
        <v>Ilmu Sosial</v>
      </c>
      <c r="G694" s="5" t="str" cm="1">
        <f t="array" ref="G694">INDEX('Data Mahasiswa'!$Q$2:$Q$14, MATCH(MID('Data Status Pendaftar'!B694,5,3), 'Data Mahasiswa'!$N$2:$N$14&amp;TEXT('Data Mahasiswa'!$P$2:$P$14,"0"), 0))</f>
        <v>Sosiologi</v>
      </c>
      <c r="H694" s="6">
        <f t="shared" ca="1" si="31"/>
        <v>2</v>
      </c>
      <c r="I694" s="7">
        <f>INDEX('Data Mahasiswa'!$A$1:$J$701, MATCH('Data Status Pendaftar'!B694, 'Data Mahasiswa'!$A$1:$A$701, 0), 10)</f>
        <v>3.3645833333333335</v>
      </c>
      <c r="J694" s="5" t="str" cm="1">
        <f t="array" ref="J694">INDEX('Data Mahasiswa'!B694:I694,MATCH(MIN(VLOOKUP('Data Mahasiswa'!B694:I694,'Data Mahasiswa'!$N$27:$O$36,2,0)),VLOOKUP('Data Mahasiswa'!B694:I694,'Data Mahasiswa'!$N$27:$O$36,2,0),0))</f>
        <v>B-</v>
      </c>
      <c r="K694" s="5" t="str">
        <f t="shared" si="32"/>
        <v>Eligible</v>
      </c>
    </row>
    <row r="695" spans="1:11" x14ac:dyDescent="0.3">
      <c r="A695" s="8">
        <v>694</v>
      </c>
      <c r="B695" s="8" t="s">
        <v>744</v>
      </c>
      <c r="C695" s="8" t="s">
        <v>772</v>
      </c>
      <c r="D695" s="8" t="s">
        <v>779</v>
      </c>
      <c r="E695" s="9">
        <f t="shared" si="30"/>
        <v>2025</v>
      </c>
      <c r="F695" s="8" t="str">
        <f>INDEX('Data Mahasiswa'!$N$1:$Q$14, MATCH(MID('Data Status Pendaftar'!B695, 5,2), 'Data Mahasiswa'!$N$1:$N$14,0),2)</f>
        <v>Ilmu Sosial</v>
      </c>
      <c r="G695" s="8" t="str" cm="1">
        <f t="array" ref="G695">INDEX('Data Mahasiswa'!$Q$2:$Q$14, MATCH(MID('Data Status Pendaftar'!B695,5,3), 'Data Mahasiswa'!$N$2:$N$14&amp;TEXT('Data Mahasiswa'!$P$2:$P$14,"0"), 0))</f>
        <v>Sosiologi</v>
      </c>
      <c r="H695" s="9">
        <f t="shared" ca="1" si="31"/>
        <v>2</v>
      </c>
      <c r="I695" s="10">
        <f>INDEX('Data Mahasiswa'!$A$1:$J$701, MATCH('Data Status Pendaftar'!B695, 'Data Mahasiswa'!$A$1:$A$701, 0), 10)</f>
        <v>2.7916666666666665</v>
      </c>
      <c r="J695" s="8" t="str" cm="1">
        <f t="array" ref="J695">INDEX('Data Mahasiswa'!B695:I695,MATCH(MIN(VLOOKUP('Data Mahasiswa'!B695:I695,'Data Mahasiswa'!$N$27:$O$36,2,0)),VLOOKUP('Data Mahasiswa'!B695:I695,'Data Mahasiswa'!$N$27:$O$36,2,0),0))</f>
        <v>C</v>
      </c>
      <c r="K695" s="8" t="str">
        <f t="shared" si="32"/>
        <v>Eligible</v>
      </c>
    </row>
    <row r="696" spans="1:11" x14ac:dyDescent="0.3">
      <c r="A696" s="5">
        <v>695</v>
      </c>
      <c r="B696" s="5" t="s">
        <v>745</v>
      </c>
      <c r="C696" s="5" t="s">
        <v>773</v>
      </c>
      <c r="D696" s="5" t="s">
        <v>779</v>
      </c>
      <c r="E696" s="6">
        <f t="shared" si="30"/>
        <v>2025</v>
      </c>
      <c r="F696" s="5" t="str">
        <f>INDEX('Data Mahasiswa'!$N$1:$Q$14, MATCH(MID('Data Status Pendaftar'!B696, 5,2), 'Data Mahasiswa'!$N$1:$N$14,0),2)</f>
        <v>Ilmu Sosial</v>
      </c>
      <c r="G696" s="5" t="str" cm="1">
        <f t="array" ref="G696">INDEX('Data Mahasiswa'!$Q$2:$Q$14, MATCH(MID('Data Status Pendaftar'!B696,5,3), 'Data Mahasiswa'!$N$2:$N$14&amp;TEXT('Data Mahasiswa'!$P$2:$P$14,"0"), 0))</f>
        <v>Sosiologi</v>
      </c>
      <c r="H696" s="6">
        <f t="shared" ca="1" si="31"/>
        <v>2</v>
      </c>
      <c r="I696" s="7">
        <f>INDEX('Data Mahasiswa'!$A$1:$J$701, MATCH('Data Status Pendaftar'!B696, 'Data Mahasiswa'!$A$1:$A$701, 0), 10)</f>
        <v>3.4895833333333335</v>
      </c>
      <c r="J696" s="5" t="str" cm="1">
        <f t="array" ref="J696">INDEX('Data Mahasiswa'!B696:I696,MATCH(MIN(VLOOKUP('Data Mahasiswa'!B696:I696,'Data Mahasiswa'!$N$27:$O$36,2,0)),VLOOKUP('Data Mahasiswa'!B696:I696,'Data Mahasiswa'!$N$27:$O$36,2,0),0))</f>
        <v>B-</v>
      </c>
      <c r="K696" s="5" t="str">
        <f t="shared" si="32"/>
        <v>Eligible</v>
      </c>
    </row>
    <row r="697" spans="1:11" x14ac:dyDescent="0.3">
      <c r="A697" s="8">
        <v>696</v>
      </c>
      <c r="B697" s="8" t="s">
        <v>746</v>
      </c>
      <c r="C697" s="8" t="s">
        <v>774</v>
      </c>
      <c r="D697" s="8" t="s">
        <v>779</v>
      </c>
      <c r="E697" s="9">
        <f t="shared" si="30"/>
        <v>2025</v>
      </c>
      <c r="F697" s="8" t="str">
        <f>INDEX('Data Mahasiswa'!$N$1:$Q$14, MATCH(MID('Data Status Pendaftar'!B697, 5,2), 'Data Mahasiswa'!$N$1:$N$14,0),2)</f>
        <v>Ilmu Sosial</v>
      </c>
      <c r="G697" s="8" t="str" cm="1">
        <f t="array" ref="G697">INDEX('Data Mahasiswa'!$Q$2:$Q$14, MATCH(MID('Data Status Pendaftar'!B697,5,3), 'Data Mahasiswa'!$N$2:$N$14&amp;TEXT('Data Mahasiswa'!$P$2:$P$14,"0"), 0))</f>
        <v>Sosiologi</v>
      </c>
      <c r="H697" s="9">
        <f t="shared" ca="1" si="31"/>
        <v>2</v>
      </c>
      <c r="I697" s="10">
        <f>INDEX('Data Mahasiswa'!$A$1:$J$701, MATCH('Data Status Pendaftar'!B697, 'Data Mahasiswa'!$A$1:$A$701, 0), 10)</f>
        <v>3.25</v>
      </c>
      <c r="J697" s="8" t="str" cm="1">
        <f t="array" ref="J697">INDEX('Data Mahasiswa'!B697:I697,MATCH(MIN(VLOOKUP('Data Mahasiswa'!B697:I697,'Data Mahasiswa'!$N$27:$O$36,2,0)),VLOOKUP('Data Mahasiswa'!B697:I697,'Data Mahasiswa'!$N$27:$O$36,2,0),0))</f>
        <v>C+</v>
      </c>
      <c r="K697" s="8" t="str">
        <f t="shared" si="32"/>
        <v>Eligible</v>
      </c>
    </row>
    <row r="698" spans="1:11" x14ac:dyDescent="0.3">
      <c r="A698" s="5">
        <v>697</v>
      </c>
      <c r="B698" s="5" t="s">
        <v>747</v>
      </c>
      <c r="C698" s="5" t="s">
        <v>775</v>
      </c>
      <c r="D698" s="5" t="s">
        <v>779</v>
      </c>
      <c r="E698" s="6">
        <f t="shared" si="30"/>
        <v>2025</v>
      </c>
      <c r="F698" s="5" t="str">
        <f>INDEX('Data Mahasiswa'!$N$1:$Q$14, MATCH(MID('Data Status Pendaftar'!B698, 5,2), 'Data Mahasiswa'!$N$1:$N$14,0),2)</f>
        <v>Ilmu Sosial</v>
      </c>
      <c r="G698" s="5" t="str" cm="1">
        <f t="array" ref="G698">INDEX('Data Mahasiswa'!$Q$2:$Q$14, MATCH(MID('Data Status Pendaftar'!B698,5,3), 'Data Mahasiswa'!$N$2:$N$14&amp;TEXT('Data Mahasiswa'!$P$2:$P$14,"0"), 0))</f>
        <v>Sosiologi</v>
      </c>
      <c r="H698" s="6">
        <f t="shared" ca="1" si="31"/>
        <v>2</v>
      </c>
      <c r="I698" s="7">
        <f>INDEX('Data Mahasiswa'!$A$1:$J$701, MATCH('Data Status Pendaftar'!B698, 'Data Mahasiswa'!$A$1:$A$701, 0), 10)</f>
        <v>2.8541666666666665</v>
      </c>
      <c r="J698" s="5" t="str" cm="1">
        <f t="array" ref="J698">INDEX('Data Mahasiswa'!B698:I698,MATCH(MIN(VLOOKUP('Data Mahasiswa'!B698:I698,'Data Mahasiswa'!$N$27:$O$36,2,0)),VLOOKUP('Data Mahasiswa'!B698:I698,'Data Mahasiswa'!$N$27:$O$36,2,0),0))</f>
        <v>C</v>
      </c>
      <c r="K698" s="5" t="str">
        <f t="shared" si="32"/>
        <v>Eligible</v>
      </c>
    </row>
    <row r="699" spans="1:11" x14ac:dyDescent="0.3">
      <c r="A699" s="8">
        <v>698</v>
      </c>
      <c r="B699" s="8" t="s">
        <v>748</v>
      </c>
      <c r="C699" s="8" t="s">
        <v>776</v>
      </c>
      <c r="D699" s="8" t="s">
        <v>779</v>
      </c>
      <c r="E699" s="9">
        <f t="shared" si="30"/>
        <v>2025</v>
      </c>
      <c r="F699" s="8" t="str">
        <f>INDEX('Data Mahasiswa'!$N$1:$Q$14, MATCH(MID('Data Status Pendaftar'!B699, 5,2), 'Data Mahasiswa'!$N$1:$N$14,0),2)</f>
        <v>Ilmu Sosial</v>
      </c>
      <c r="G699" s="8" t="str" cm="1">
        <f t="array" ref="G699">INDEX('Data Mahasiswa'!$Q$2:$Q$14, MATCH(MID('Data Status Pendaftar'!B699,5,3), 'Data Mahasiswa'!$N$2:$N$14&amp;TEXT('Data Mahasiswa'!$P$2:$P$14,"0"), 0))</f>
        <v>Sosiologi</v>
      </c>
      <c r="H699" s="9">
        <f t="shared" ca="1" si="31"/>
        <v>2</v>
      </c>
      <c r="I699" s="10">
        <f>INDEX('Data Mahasiswa'!$A$1:$J$701, MATCH('Data Status Pendaftar'!B699, 'Data Mahasiswa'!$A$1:$A$701, 0), 10)</f>
        <v>2.9479166666666665</v>
      </c>
      <c r="J699" s="8" t="str" cm="1">
        <f t="array" ref="J699">INDEX('Data Mahasiswa'!B699:I699,MATCH(MIN(VLOOKUP('Data Mahasiswa'!B699:I699,'Data Mahasiswa'!$N$27:$O$36,2,0)),VLOOKUP('Data Mahasiswa'!B699:I699,'Data Mahasiswa'!$N$27:$O$36,2,0),0))</f>
        <v>D</v>
      </c>
      <c r="K699" s="8" t="str">
        <f t="shared" si="32"/>
        <v>Tidak Eligible</v>
      </c>
    </row>
    <row r="700" spans="1:11" x14ac:dyDescent="0.3">
      <c r="A700" s="5">
        <v>699</v>
      </c>
      <c r="B700" s="5" t="s">
        <v>749</v>
      </c>
      <c r="C700" s="5" t="s">
        <v>777</v>
      </c>
      <c r="D700" s="5" t="s">
        <v>780</v>
      </c>
      <c r="E700" s="6">
        <f t="shared" si="30"/>
        <v>2025</v>
      </c>
      <c r="F700" s="5" t="str">
        <f>INDEX('Data Mahasiswa'!$N$1:$Q$14, MATCH(MID('Data Status Pendaftar'!B700, 5,2), 'Data Mahasiswa'!$N$1:$N$14,0),2)</f>
        <v>Ilmu Sosial</v>
      </c>
      <c r="G700" s="5" t="str" cm="1">
        <f t="array" ref="G700">INDEX('Data Mahasiswa'!$Q$2:$Q$14, MATCH(MID('Data Status Pendaftar'!B700,5,3), 'Data Mahasiswa'!$N$2:$N$14&amp;TEXT('Data Mahasiswa'!$P$2:$P$14,"0"), 0))</f>
        <v>Sosiologi</v>
      </c>
      <c r="H700" s="6">
        <f t="shared" ca="1" si="31"/>
        <v>2</v>
      </c>
      <c r="I700" s="7">
        <f>INDEX('Data Mahasiswa'!$A$1:$J$701, MATCH('Data Status Pendaftar'!B700, 'Data Mahasiswa'!$A$1:$A$701, 0), 10)</f>
        <v>3.4583333333333335</v>
      </c>
      <c r="J700" s="5" t="str" cm="1">
        <f t="array" ref="J700">INDEX('Data Mahasiswa'!B700:I700,MATCH(MIN(VLOOKUP('Data Mahasiswa'!B700:I700,'Data Mahasiswa'!$N$27:$O$36,2,0)),VLOOKUP('Data Mahasiswa'!B700:I700,'Data Mahasiswa'!$N$27:$O$36,2,0),0))</f>
        <v>B</v>
      </c>
      <c r="K700" s="5" t="str">
        <f t="shared" si="32"/>
        <v>Eligible</v>
      </c>
    </row>
    <row r="701" spans="1:11" x14ac:dyDescent="0.3">
      <c r="A701" s="8">
        <v>700</v>
      </c>
      <c r="B701" s="8" t="s">
        <v>750</v>
      </c>
      <c r="C701" s="8" t="s">
        <v>778</v>
      </c>
      <c r="D701" s="8" t="s">
        <v>780</v>
      </c>
      <c r="E701" s="9">
        <f t="shared" si="30"/>
        <v>2025</v>
      </c>
      <c r="F701" s="8" t="str">
        <f>INDEX('Data Mahasiswa'!$N$1:$Q$14, MATCH(MID('Data Status Pendaftar'!B701, 5,2), 'Data Mahasiswa'!$N$1:$N$14,0),2)</f>
        <v>Ilmu Sosial</v>
      </c>
      <c r="G701" s="8" t="str" cm="1">
        <f t="array" ref="G701">INDEX('Data Mahasiswa'!$Q$2:$Q$14, MATCH(MID('Data Status Pendaftar'!B701,5,3), 'Data Mahasiswa'!$N$2:$N$14&amp;TEXT('Data Mahasiswa'!$P$2:$P$14,"0"), 0))</f>
        <v>Sosiologi</v>
      </c>
      <c r="H701" s="9">
        <f t="shared" ca="1" si="31"/>
        <v>2</v>
      </c>
      <c r="I701" s="10">
        <f>INDEX('Data Mahasiswa'!$A$1:$J$701, MATCH('Data Status Pendaftar'!B701, 'Data Mahasiswa'!$A$1:$A$701, 0), 10)</f>
        <v>2.9583333333333335</v>
      </c>
      <c r="J701" s="8" t="str" cm="1">
        <f t="array" ref="J701">INDEX('Data Mahasiswa'!B701:I701,MATCH(MIN(VLOOKUP('Data Mahasiswa'!B701:I701,'Data Mahasiswa'!$N$27:$O$36,2,0)),VLOOKUP('Data Mahasiswa'!B701:I701,'Data Mahasiswa'!$N$27:$O$36,2,0),0))</f>
        <v>C</v>
      </c>
      <c r="K701" s="8" t="str">
        <f t="shared" si="32"/>
        <v>Eligible</v>
      </c>
    </row>
    <row r="702" spans="1:11" x14ac:dyDescent="0.3">
      <c r="A702" s="8"/>
      <c r="B702" s="8"/>
      <c r="C702" s="8"/>
      <c r="D702" s="8"/>
      <c r="E702" s="9"/>
      <c r="F702" s="8"/>
      <c r="G702" s="8"/>
      <c r="H702" s="9"/>
      <c r="I702" s="10"/>
      <c r="J702" s="8"/>
      <c r="K702" s="8"/>
    </row>
  </sheetData>
  <conditionalFormatting sqref="K1:K1048576">
    <cfRule type="containsText" dxfId="17" priority="1" operator="containsText" text="Tidak Eligible">
      <formula>NOT(ISERROR(SEARCH("Tidak Eligible",K1)))</formula>
    </cfRule>
    <cfRule type="containsText" dxfId="16" priority="2" operator="containsText" text="Eligible">
      <formula>NOT(ISERROR(SEARCH("Eligible",K1)))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FA12-71FB-48F4-8B20-15E44F0D5DD2}">
  <dimension ref="A1:J375"/>
  <sheetViews>
    <sheetView workbookViewId="0">
      <selection activeCell="A2" sqref="A2"/>
    </sheetView>
  </sheetViews>
  <sheetFormatPr defaultRowHeight="14.4" x14ac:dyDescent="0.3"/>
  <cols>
    <col min="2" max="2" width="12.88671875" bestFit="1" customWidth="1"/>
    <col min="3" max="3" width="20.44140625" bestFit="1" customWidth="1"/>
    <col min="4" max="4" width="12.33203125" bestFit="1" customWidth="1"/>
    <col min="5" max="5" width="8.6640625" bestFit="1" customWidth="1"/>
    <col min="7" max="7" width="20" bestFit="1" customWidth="1"/>
    <col min="9" max="9" width="12" bestFit="1" customWidth="1"/>
    <col min="10" max="10" width="13.109375" bestFit="1" customWidth="1"/>
  </cols>
  <sheetData>
    <row r="1" spans="1:10" ht="23.4" x14ac:dyDescent="0.3">
      <c r="A1" s="4" t="s">
        <v>1403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2" t="s">
        <v>751</v>
      </c>
      <c r="B2" s="2" t="s">
        <v>0</v>
      </c>
      <c r="C2" s="2" t="s">
        <v>1</v>
      </c>
      <c r="D2" s="2" t="s">
        <v>41</v>
      </c>
      <c r="E2" s="2" t="s">
        <v>42</v>
      </c>
      <c r="F2" s="2" t="s">
        <v>5</v>
      </c>
      <c r="G2" s="2" t="s">
        <v>6</v>
      </c>
      <c r="H2" s="2" t="s">
        <v>4</v>
      </c>
      <c r="I2" s="2" t="s">
        <v>2</v>
      </c>
      <c r="J2" s="2" t="s">
        <v>7</v>
      </c>
    </row>
    <row r="3" spans="1:10" x14ac:dyDescent="0.3">
      <c r="A3" cm="1">
        <f t="array" ref="A3:A375">_xlfn.SEQUENCE(ROWS(_xlfn._xlws.FILTER('Data Status Pendaftar'!A2:A701,'Data Status Pendaftar'!K2:K701="Eligible")))</f>
        <v>1</v>
      </c>
      <c r="B3" t="str" cm="1">
        <f t="array" aca="1" ref="B3:J375" ca="1">_xlfn._xlws.FILTER(datasts[[NIM]:[Nilai Terendah]],datasts[[Status ]]="Eligible","")</f>
        <v>25M-A11-0001</v>
      </c>
      <c r="C3" t="str">
        <f ca="1"/>
        <v>Zaki Oktavianus</v>
      </c>
      <c r="D3" t="str">
        <f ca="1"/>
        <v>L</v>
      </c>
      <c r="E3">
        <f ca="1"/>
        <v>2025</v>
      </c>
      <c r="F3" t="str">
        <f ca="1"/>
        <v>Sains</v>
      </c>
      <c r="G3" t="str">
        <f ca="1"/>
        <v>Matematika</v>
      </c>
      <c r="H3">
        <f ca="1"/>
        <v>2</v>
      </c>
      <c r="I3" s="3">
        <f ca="1"/>
        <v>3.4791666666666665</v>
      </c>
      <c r="J3" t="str">
        <f ca="1"/>
        <v>B-</v>
      </c>
    </row>
    <row r="4" spans="1:10" x14ac:dyDescent="0.3">
      <c r="A4">
        <v>2</v>
      </c>
      <c r="B4" s="12" t="str">
        <f ca="1"/>
        <v>25M-A11-0002</v>
      </c>
      <c r="C4" t="str">
        <f ca="1"/>
        <v>Rina Kusuma</v>
      </c>
      <c r="D4" t="str">
        <f ca="1"/>
        <v>P</v>
      </c>
      <c r="E4">
        <f ca="1"/>
        <v>2025</v>
      </c>
      <c r="F4" t="str">
        <f ca="1"/>
        <v>Sains</v>
      </c>
      <c r="G4" t="str">
        <f ca="1"/>
        <v>Matematika</v>
      </c>
      <c r="H4">
        <f ca="1"/>
        <v>2</v>
      </c>
      <c r="I4" s="3">
        <f ca="1"/>
        <v>3.7083333333333335</v>
      </c>
      <c r="J4" t="str">
        <f ca="1"/>
        <v>C+</v>
      </c>
    </row>
    <row r="5" spans="1:10" x14ac:dyDescent="0.3">
      <c r="A5">
        <v>3</v>
      </c>
      <c r="B5" t="str">
        <f ca="1"/>
        <v>25M-A11-0004</v>
      </c>
      <c r="C5" t="str">
        <f ca="1"/>
        <v>Oki Wijaya</v>
      </c>
      <c r="D5" t="str">
        <f ca="1"/>
        <v>L</v>
      </c>
      <c r="E5">
        <f ca="1"/>
        <v>2025</v>
      </c>
      <c r="F5" t="str">
        <f ca="1"/>
        <v>Sains</v>
      </c>
      <c r="G5" t="str">
        <f ca="1"/>
        <v>Matematika</v>
      </c>
      <c r="H5">
        <f ca="1"/>
        <v>2</v>
      </c>
      <c r="I5" s="3">
        <f ca="1"/>
        <v>3.4270833333333335</v>
      </c>
      <c r="J5" t="str">
        <f ca="1"/>
        <v>C+</v>
      </c>
    </row>
    <row r="6" spans="1:10" x14ac:dyDescent="0.3">
      <c r="A6">
        <v>4</v>
      </c>
      <c r="B6" t="str">
        <f ca="1"/>
        <v>25M-A11-0005</v>
      </c>
      <c r="C6" t="str">
        <f ca="1"/>
        <v>Eka Hidayat</v>
      </c>
      <c r="D6" t="str">
        <f ca="1"/>
        <v>P</v>
      </c>
      <c r="E6">
        <f ca="1"/>
        <v>2025</v>
      </c>
      <c r="F6" t="str">
        <f ca="1"/>
        <v>Sains</v>
      </c>
      <c r="G6" t="str">
        <f ca="1"/>
        <v>Matematika</v>
      </c>
      <c r="H6">
        <f ca="1"/>
        <v>2</v>
      </c>
      <c r="I6" s="3">
        <f ca="1"/>
        <v>3.4270833333333335</v>
      </c>
      <c r="J6" t="str">
        <f ca="1"/>
        <v>B-</v>
      </c>
    </row>
    <row r="7" spans="1:10" x14ac:dyDescent="0.3">
      <c r="A7">
        <v>5</v>
      </c>
      <c r="B7" t="str">
        <f ca="1"/>
        <v>25M-A11-0006</v>
      </c>
      <c r="C7" t="str">
        <f ca="1"/>
        <v>Gema Hidayat</v>
      </c>
      <c r="D7" t="str">
        <f ca="1"/>
        <v>P</v>
      </c>
      <c r="E7">
        <f ca="1"/>
        <v>2025</v>
      </c>
      <c r="F7" t="str">
        <f ca="1"/>
        <v>Sains</v>
      </c>
      <c r="G7" t="str">
        <f ca="1"/>
        <v>Matematika</v>
      </c>
      <c r="H7">
        <f ca="1"/>
        <v>2</v>
      </c>
      <c r="I7" s="3">
        <f ca="1"/>
        <v>2.9479166666666665</v>
      </c>
      <c r="J7" t="str">
        <f ca="1"/>
        <v>C</v>
      </c>
    </row>
    <row r="8" spans="1:10" x14ac:dyDescent="0.3">
      <c r="A8">
        <v>6</v>
      </c>
      <c r="B8" t="str">
        <f ca="1"/>
        <v>25M-A11-0008</v>
      </c>
      <c r="C8" t="str">
        <f ca="1"/>
        <v>Yuni Siregar</v>
      </c>
      <c r="D8" t="str">
        <f ca="1"/>
        <v>P</v>
      </c>
      <c r="E8">
        <f ca="1"/>
        <v>2025</v>
      </c>
      <c r="F8" t="str">
        <f ca="1"/>
        <v>Sains</v>
      </c>
      <c r="G8" t="str">
        <f ca="1"/>
        <v>Matematika</v>
      </c>
      <c r="H8">
        <f ca="1"/>
        <v>2</v>
      </c>
      <c r="I8" s="3">
        <f ca="1"/>
        <v>3.0104166666666665</v>
      </c>
      <c r="J8" t="str">
        <f ca="1"/>
        <v>C</v>
      </c>
    </row>
    <row r="9" spans="1:10" x14ac:dyDescent="0.3">
      <c r="A9">
        <v>7</v>
      </c>
      <c r="B9" t="str">
        <f ca="1"/>
        <v>25M-A11-0011</v>
      </c>
      <c r="C9" t="str">
        <f ca="1"/>
        <v>Bella Siregar</v>
      </c>
      <c r="D9" t="str">
        <f ca="1"/>
        <v>P</v>
      </c>
      <c r="E9">
        <f ca="1"/>
        <v>2025</v>
      </c>
      <c r="F9" t="str">
        <f ca="1"/>
        <v>Sains</v>
      </c>
      <c r="G9" t="str">
        <f ca="1"/>
        <v>Matematika</v>
      </c>
      <c r="H9">
        <f ca="1"/>
        <v>2</v>
      </c>
      <c r="I9" s="3">
        <f ca="1"/>
        <v>3.3541666666666665</v>
      </c>
      <c r="J9" t="str">
        <f ca="1"/>
        <v>C</v>
      </c>
    </row>
    <row r="10" spans="1:10" x14ac:dyDescent="0.3">
      <c r="A10">
        <v>8</v>
      </c>
      <c r="B10" t="str">
        <f ca="1"/>
        <v>25M-A11-0012</v>
      </c>
      <c r="C10" t="str">
        <f ca="1"/>
        <v>Dinda Permana</v>
      </c>
      <c r="D10" t="str">
        <f ca="1"/>
        <v>P</v>
      </c>
      <c r="E10">
        <f ca="1"/>
        <v>2025</v>
      </c>
      <c r="F10" t="str">
        <f ca="1"/>
        <v>Sains</v>
      </c>
      <c r="G10" t="str">
        <f ca="1"/>
        <v>Matematika</v>
      </c>
      <c r="H10">
        <f ca="1"/>
        <v>2</v>
      </c>
      <c r="I10" s="3">
        <f ca="1"/>
        <v>3.1770833333333335</v>
      </c>
      <c r="J10" t="str">
        <f ca="1"/>
        <v>C</v>
      </c>
    </row>
    <row r="11" spans="1:10" x14ac:dyDescent="0.3">
      <c r="A11">
        <v>9</v>
      </c>
      <c r="B11" t="str">
        <f ca="1"/>
        <v>25M-A11-0015</v>
      </c>
      <c r="C11" t="str">
        <f ca="1"/>
        <v>Farah Junaedi</v>
      </c>
      <c r="D11" t="str">
        <f ca="1"/>
        <v>P</v>
      </c>
      <c r="E11">
        <f ca="1"/>
        <v>2025</v>
      </c>
      <c r="F11" t="str">
        <f ca="1"/>
        <v>Sains</v>
      </c>
      <c r="G11" t="str">
        <f ca="1"/>
        <v>Matematika</v>
      </c>
      <c r="H11">
        <f ca="1"/>
        <v>2</v>
      </c>
      <c r="I11" s="3">
        <f ca="1"/>
        <v>2.7708333333333335</v>
      </c>
      <c r="J11" t="str">
        <f ca="1"/>
        <v>C</v>
      </c>
    </row>
    <row r="12" spans="1:10" x14ac:dyDescent="0.3">
      <c r="A12">
        <v>10</v>
      </c>
      <c r="B12" t="str">
        <f ca="1"/>
        <v>25M-A11-0016</v>
      </c>
      <c r="C12" t="str">
        <f ca="1"/>
        <v>Ira Suryadi</v>
      </c>
      <c r="D12" t="str">
        <f ca="1"/>
        <v>P</v>
      </c>
      <c r="E12">
        <f ca="1"/>
        <v>2025</v>
      </c>
      <c r="F12" t="str">
        <f ca="1"/>
        <v>Sains</v>
      </c>
      <c r="G12" t="str">
        <f ca="1"/>
        <v>Matematika</v>
      </c>
      <c r="H12">
        <f ca="1"/>
        <v>2</v>
      </c>
      <c r="I12" s="3">
        <f ca="1"/>
        <v>3.6041666666666665</v>
      </c>
      <c r="J12" t="str">
        <f ca="1"/>
        <v>B-</v>
      </c>
    </row>
    <row r="13" spans="1:10" x14ac:dyDescent="0.3">
      <c r="A13">
        <v>11</v>
      </c>
      <c r="B13" t="str">
        <f ca="1"/>
        <v>25M-A12-0001</v>
      </c>
      <c r="C13" t="str">
        <f ca="1"/>
        <v>Fitri Prasetyo</v>
      </c>
      <c r="D13" t="str">
        <f ca="1"/>
        <v>P</v>
      </c>
      <c r="E13">
        <f ca="1"/>
        <v>2025</v>
      </c>
      <c r="F13" t="str">
        <f ca="1"/>
        <v>Sains</v>
      </c>
      <c r="G13" t="str">
        <f ca="1"/>
        <v>Statistika</v>
      </c>
      <c r="H13">
        <f ca="1"/>
        <v>2</v>
      </c>
      <c r="I13" s="3">
        <f ca="1"/>
        <v>3.5104166666666665</v>
      </c>
      <c r="J13" t="str">
        <f ca="1"/>
        <v>C</v>
      </c>
    </row>
    <row r="14" spans="1:10" x14ac:dyDescent="0.3">
      <c r="A14">
        <v>12</v>
      </c>
      <c r="B14" t="str">
        <f ca="1"/>
        <v>25M-A12-0003</v>
      </c>
      <c r="C14" t="str">
        <f ca="1"/>
        <v>Yuni Nasution</v>
      </c>
      <c r="D14" t="str">
        <f ca="1"/>
        <v>P</v>
      </c>
      <c r="E14">
        <f ca="1"/>
        <v>2025</v>
      </c>
      <c r="F14" t="str">
        <f ca="1"/>
        <v>Sains</v>
      </c>
      <c r="G14" t="str">
        <f ca="1"/>
        <v>Statistika</v>
      </c>
      <c r="H14">
        <f ca="1"/>
        <v>2</v>
      </c>
      <c r="I14" s="3">
        <f ca="1"/>
        <v>3.375</v>
      </c>
      <c r="J14" t="str">
        <f ca="1"/>
        <v>C+</v>
      </c>
    </row>
    <row r="15" spans="1:10" x14ac:dyDescent="0.3">
      <c r="A15">
        <v>13</v>
      </c>
      <c r="B15" t="str">
        <f ca="1"/>
        <v>25M-A12-0005</v>
      </c>
      <c r="C15" t="str">
        <f ca="1"/>
        <v>Siti Zulkarnain</v>
      </c>
      <c r="D15" t="str">
        <f ca="1"/>
        <v>P</v>
      </c>
      <c r="E15">
        <f ca="1"/>
        <v>2025</v>
      </c>
      <c r="F15" t="str">
        <f ca="1"/>
        <v>Sains</v>
      </c>
      <c r="G15" t="str">
        <f ca="1"/>
        <v>Statistika</v>
      </c>
      <c r="H15">
        <f ca="1"/>
        <v>2</v>
      </c>
      <c r="I15" s="3">
        <f ca="1"/>
        <v>2.8541666666666665</v>
      </c>
      <c r="J15" t="str">
        <f ca="1"/>
        <v>C</v>
      </c>
    </row>
    <row r="16" spans="1:10" x14ac:dyDescent="0.3">
      <c r="A16">
        <v>14</v>
      </c>
      <c r="B16" t="str">
        <f ca="1"/>
        <v>25M-A12-0007</v>
      </c>
      <c r="C16" t="str">
        <f ca="1"/>
        <v>Siti Firmansyah</v>
      </c>
      <c r="D16" t="str">
        <f ca="1"/>
        <v>P</v>
      </c>
      <c r="E16">
        <f ca="1"/>
        <v>2025</v>
      </c>
      <c r="F16" t="str">
        <f ca="1"/>
        <v>Sains</v>
      </c>
      <c r="G16" t="str">
        <f ca="1"/>
        <v>Statistika</v>
      </c>
      <c r="H16">
        <f ca="1"/>
        <v>2</v>
      </c>
      <c r="I16" s="3">
        <f ca="1"/>
        <v>3.4895833333333335</v>
      </c>
      <c r="J16" t="str">
        <f ca="1"/>
        <v>B-</v>
      </c>
    </row>
    <row r="17" spans="1:10" x14ac:dyDescent="0.3">
      <c r="A17">
        <v>15</v>
      </c>
      <c r="B17" t="str">
        <f ca="1"/>
        <v>25M-A12-0009</v>
      </c>
      <c r="C17" t="str">
        <f ca="1"/>
        <v>Sinta Tanjung</v>
      </c>
      <c r="D17" t="str">
        <f ca="1"/>
        <v>P</v>
      </c>
      <c r="E17">
        <f ca="1"/>
        <v>2025</v>
      </c>
      <c r="F17" t="str">
        <f ca="1"/>
        <v>Sains</v>
      </c>
      <c r="G17" t="str">
        <f ca="1"/>
        <v>Statistika</v>
      </c>
      <c r="H17">
        <f ca="1"/>
        <v>2</v>
      </c>
      <c r="I17" s="3">
        <f ca="1"/>
        <v>2.96875</v>
      </c>
      <c r="J17" t="str">
        <f ca="1"/>
        <v>C</v>
      </c>
    </row>
    <row r="18" spans="1:10" x14ac:dyDescent="0.3">
      <c r="A18">
        <v>16</v>
      </c>
      <c r="B18" t="str">
        <f ca="1"/>
        <v>25M-A12-0010</v>
      </c>
      <c r="C18" t="str">
        <f ca="1"/>
        <v>Putri Ramadhan</v>
      </c>
      <c r="D18" t="str">
        <f ca="1"/>
        <v>P</v>
      </c>
      <c r="E18">
        <f ca="1"/>
        <v>2025</v>
      </c>
      <c r="F18" t="str">
        <f ca="1"/>
        <v>Sains</v>
      </c>
      <c r="G18" t="str">
        <f ca="1"/>
        <v>Statistika</v>
      </c>
      <c r="H18">
        <f ca="1"/>
        <v>2</v>
      </c>
      <c r="I18" s="3">
        <f ca="1"/>
        <v>2.9479166666666665</v>
      </c>
      <c r="J18" t="str">
        <f ca="1"/>
        <v>C</v>
      </c>
    </row>
    <row r="19" spans="1:10" x14ac:dyDescent="0.3">
      <c r="A19">
        <v>17</v>
      </c>
      <c r="B19" t="str">
        <f ca="1"/>
        <v>25M-A12-0014</v>
      </c>
      <c r="C19" t="str">
        <f ca="1"/>
        <v>Yusuf Lubis</v>
      </c>
      <c r="D19" t="str">
        <f ca="1"/>
        <v>L</v>
      </c>
      <c r="E19">
        <f ca="1"/>
        <v>2025</v>
      </c>
      <c r="F19" t="str">
        <f ca="1"/>
        <v>Sains</v>
      </c>
      <c r="G19" t="str">
        <f ca="1"/>
        <v>Statistika</v>
      </c>
      <c r="H19">
        <f ca="1"/>
        <v>2</v>
      </c>
      <c r="I19" s="3">
        <f ca="1"/>
        <v>3.1875</v>
      </c>
      <c r="J19" t="str">
        <f ca="1"/>
        <v>C</v>
      </c>
    </row>
    <row r="20" spans="1:10" x14ac:dyDescent="0.3">
      <c r="A20">
        <v>18</v>
      </c>
      <c r="B20" t="str">
        <f ca="1"/>
        <v>25M-A12-0015</v>
      </c>
      <c r="C20" t="str">
        <f ca="1"/>
        <v>Gita Nurdin</v>
      </c>
      <c r="D20" t="str">
        <f ca="1"/>
        <v>P</v>
      </c>
      <c r="E20">
        <f ca="1"/>
        <v>2025</v>
      </c>
      <c r="F20" t="str">
        <f ca="1"/>
        <v>Sains</v>
      </c>
      <c r="G20" t="str">
        <f ca="1"/>
        <v>Statistika</v>
      </c>
      <c r="H20">
        <f ca="1"/>
        <v>2</v>
      </c>
      <c r="I20" s="3">
        <f ca="1"/>
        <v>3.0416666666666665</v>
      </c>
      <c r="J20" t="str">
        <f ca="1"/>
        <v>C</v>
      </c>
    </row>
    <row r="21" spans="1:10" x14ac:dyDescent="0.3">
      <c r="A21">
        <v>19</v>
      </c>
      <c r="B21" t="str">
        <f ca="1"/>
        <v>25M-A12-0016</v>
      </c>
      <c r="C21" t="str">
        <f ca="1"/>
        <v>Citra Tanjung</v>
      </c>
      <c r="D21" t="str">
        <f ca="1"/>
        <v>P</v>
      </c>
      <c r="E21">
        <f ca="1"/>
        <v>2025</v>
      </c>
      <c r="F21" t="str">
        <f ca="1"/>
        <v>Sains</v>
      </c>
      <c r="G21" t="str">
        <f ca="1"/>
        <v>Statistika</v>
      </c>
      <c r="H21">
        <f ca="1"/>
        <v>2</v>
      </c>
      <c r="I21" s="3">
        <f ca="1"/>
        <v>3.1875</v>
      </c>
      <c r="J21" t="str">
        <f ca="1"/>
        <v>C</v>
      </c>
    </row>
    <row r="22" spans="1:10" x14ac:dyDescent="0.3">
      <c r="A22">
        <v>20</v>
      </c>
      <c r="B22" t="str">
        <f ca="1"/>
        <v>25M-A12-0017</v>
      </c>
      <c r="C22" t="str">
        <f ca="1"/>
        <v>Lutfi Susanto</v>
      </c>
      <c r="D22" t="str">
        <f ca="1"/>
        <v>L</v>
      </c>
      <c r="E22">
        <f ca="1"/>
        <v>2025</v>
      </c>
      <c r="F22" t="str">
        <f ca="1"/>
        <v>Sains</v>
      </c>
      <c r="G22" t="str">
        <f ca="1"/>
        <v>Statistika</v>
      </c>
      <c r="H22">
        <f ca="1"/>
        <v>2</v>
      </c>
      <c r="I22" s="3">
        <f ca="1"/>
        <v>3.1875</v>
      </c>
      <c r="J22" t="str">
        <f ca="1"/>
        <v>C+</v>
      </c>
    </row>
    <row r="23" spans="1:10" x14ac:dyDescent="0.3">
      <c r="A23">
        <v>21</v>
      </c>
      <c r="B23" t="str">
        <f ca="1"/>
        <v>25M-A12-0018</v>
      </c>
      <c r="C23" t="str">
        <f ca="1"/>
        <v>Hendra Irawan</v>
      </c>
      <c r="D23" t="str">
        <f ca="1"/>
        <v>L</v>
      </c>
      <c r="E23">
        <f ca="1"/>
        <v>2025</v>
      </c>
      <c r="F23" t="str">
        <f ca="1"/>
        <v>Sains</v>
      </c>
      <c r="G23" t="str">
        <f ca="1"/>
        <v>Statistika</v>
      </c>
      <c r="H23">
        <f ca="1"/>
        <v>2</v>
      </c>
      <c r="I23" s="3">
        <f ca="1"/>
        <v>3.0625</v>
      </c>
      <c r="J23" t="str">
        <f ca="1"/>
        <v>C+</v>
      </c>
    </row>
    <row r="24" spans="1:10" x14ac:dyDescent="0.3">
      <c r="A24">
        <v>22</v>
      </c>
      <c r="B24" t="str">
        <f ca="1"/>
        <v>25M-A12-0019</v>
      </c>
      <c r="C24" t="str">
        <f ca="1"/>
        <v>Ahmad Ramadhan</v>
      </c>
      <c r="D24" t="str">
        <f ca="1"/>
        <v>L</v>
      </c>
      <c r="E24">
        <f ca="1"/>
        <v>2025</v>
      </c>
      <c r="F24" t="str">
        <f ca="1"/>
        <v>Sains</v>
      </c>
      <c r="G24" t="str">
        <f ca="1"/>
        <v>Statistika</v>
      </c>
      <c r="H24">
        <f ca="1"/>
        <v>2</v>
      </c>
      <c r="I24" s="3">
        <f ca="1"/>
        <v>2.8541666666666665</v>
      </c>
      <c r="J24" t="str">
        <f ca="1"/>
        <v>C</v>
      </c>
    </row>
    <row r="25" spans="1:10" x14ac:dyDescent="0.3">
      <c r="A25">
        <v>23</v>
      </c>
      <c r="B25" t="str">
        <f ca="1"/>
        <v>25M-A12-0022</v>
      </c>
      <c r="C25" t="str">
        <f ca="1"/>
        <v>Andi Nasution</v>
      </c>
      <c r="D25" t="str">
        <f ca="1"/>
        <v>L</v>
      </c>
      <c r="E25">
        <f ca="1"/>
        <v>2025</v>
      </c>
      <c r="F25" t="str">
        <f ca="1"/>
        <v>Sains</v>
      </c>
      <c r="G25" t="str">
        <f ca="1"/>
        <v>Statistika</v>
      </c>
      <c r="H25">
        <f ca="1"/>
        <v>2</v>
      </c>
      <c r="I25" s="3">
        <f ca="1"/>
        <v>3.1354166666666665</v>
      </c>
      <c r="J25" t="str">
        <f ca="1"/>
        <v>C</v>
      </c>
    </row>
    <row r="26" spans="1:10" x14ac:dyDescent="0.3">
      <c r="A26">
        <v>24</v>
      </c>
      <c r="B26" t="str">
        <f ca="1"/>
        <v>25M-A12-0024</v>
      </c>
      <c r="C26" t="str">
        <f ca="1"/>
        <v>Mahmud Iskandar</v>
      </c>
      <c r="D26" t="str">
        <f ca="1"/>
        <v>L</v>
      </c>
      <c r="E26">
        <f ca="1"/>
        <v>2025</v>
      </c>
      <c r="F26" t="str">
        <f ca="1"/>
        <v>Sains</v>
      </c>
      <c r="G26" t="str">
        <f ca="1"/>
        <v>Statistika</v>
      </c>
      <c r="H26">
        <f ca="1"/>
        <v>2</v>
      </c>
      <c r="I26" s="3">
        <f ca="1"/>
        <v>3.5104166666666665</v>
      </c>
      <c r="J26" t="str">
        <f ca="1"/>
        <v>B-</v>
      </c>
    </row>
    <row r="27" spans="1:10" x14ac:dyDescent="0.3">
      <c r="A27">
        <v>25</v>
      </c>
      <c r="B27" t="str">
        <f ca="1"/>
        <v>25M-A12-0027</v>
      </c>
      <c r="C27" t="str">
        <f ca="1"/>
        <v>Yoga Kurnia</v>
      </c>
      <c r="D27" t="str">
        <f ca="1"/>
        <v>L</v>
      </c>
      <c r="E27">
        <f ca="1"/>
        <v>2025</v>
      </c>
      <c r="F27" t="str">
        <f ca="1"/>
        <v>Sains</v>
      </c>
      <c r="G27" t="str">
        <f ca="1"/>
        <v>Statistika</v>
      </c>
      <c r="H27">
        <f ca="1"/>
        <v>2</v>
      </c>
      <c r="I27" s="3">
        <f ca="1"/>
        <v>2.9270833333333335</v>
      </c>
      <c r="J27" t="str">
        <f ca="1"/>
        <v>C</v>
      </c>
    </row>
    <row r="28" spans="1:10" x14ac:dyDescent="0.3">
      <c r="A28">
        <v>26</v>
      </c>
      <c r="B28" t="str">
        <f ca="1"/>
        <v>25M-A13-0002</v>
      </c>
      <c r="C28" t="str">
        <f ca="1"/>
        <v>Yuni Lubis</v>
      </c>
      <c r="D28" t="str">
        <f ca="1"/>
        <v>P</v>
      </c>
      <c r="E28">
        <f ca="1"/>
        <v>2025</v>
      </c>
      <c r="F28" t="str">
        <f ca="1"/>
        <v>Sains</v>
      </c>
      <c r="G28" t="str">
        <f ca="1"/>
        <v>Biologi</v>
      </c>
      <c r="H28">
        <f ca="1"/>
        <v>2</v>
      </c>
      <c r="I28" s="3">
        <f ca="1"/>
        <v>2.8333333333333335</v>
      </c>
      <c r="J28" t="str">
        <f ca="1"/>
        <v>C</v>
      </c>
    </row>
    <row r="29" spans="1:10" x14ac:dyDescent="0.3">
      <c r="A29">
        <v>27</v>
      </c>
      <c r="B29" t="str">
        <f ca="1"/>
        <v>25M-A13-0003</v>
      </c>
      <c r="C29" t="str">
        <f ca="1"/>
        <v>Julia Lesmana</v>
      </c>
      <c r="D29" t="str">
        <f ca="1"/>
        <v>P</v>
      </c>
      <c r="E29">
        <f ca="1"/>
        <v>2025</v>
      </c>
      <c r="F29" t="str">
        <f ca="1"/>
        <v>Sains</v>
      </c>
      <c r="G29" t="str">
        <f ca="1"/>
        <v>Biologi</v>
      </c>
      <c r="H29">
        <f ca="1"/>
        <v>2</v>
      </c>
      <c r="I29" s="3">
        <f ca="1"/>
        <v>3.78125</v>
      </c>
      <c r="J29" t="str">
        <f ca="1"/>
        <v>B</v>
      </c>
    </row>
    <row r="30" spans="1:10" x14ac:dyDescent="0.3">
      <c r="A30">
        <v>28</v>
      </c>
      <c r="B30" t="str">
        <f ca="1"/>
        <v>25M-A13-0004</v>
      </c>
      <c r="C30" t="str">
        <f ca="1"/>
        <v>Lina Maulana</v>
      </c>
      <c r="D30" t="str">
        <f ca="1"/>
        <v>P</v>
      </c>
      <c r="E30">
        <f ca="1"/>
        <v>2025</v>
      </c>
      <c r="F30" t="str">
        <f ca="1"/>
        <v>Sains</v>
      </c>
      <c r="G30" t="str">
        <f ca="1"/>
        <v>Biologi</v>
      </c>
      <c r="H30">
        <f ca="1"/>
        <v>2</v>
      </c>
      <c r="I30" s="3">
        <f ca="1"/>
        <v>3.5104166666666665</v>
      </c>
      <c r="J30" t="str">
        <f ca="1"/>
        <v>C+</v>
      </c>
    </row>
    <row r="31" spans="1:10" x14ac:dyDescent="0.3">
      <c r="A31">
        <v>29</v>
      </c>
      <c r="B31" t="str">
        <f ca="1"/>
        <v>25M-A13-0007</v>
      </c>
      <c r="C31" t="str">
        <f ca="1"/>
        <v>Sandi Setiawan</v>
      </c>
      <c r="D31" t="str">
        <f ca="1"/>
        <v>L</v>
      </c>
      <c r="E31">
        <f ca="1"/>
        <v>2025</v>
      </c>
      <c r="F31" t="str">
        <f ca="1"/>
        <v>Sains</v>
      </c>
      <c r="G31" t="str">
        <f ca="1"/>
        <v>Biologi</v>
      </c>
      <c r="H31">
        <f ca="1"/>
        <v>2</v>
      </c>
      <c r="I31" s="3">
        <f ca="1"/>
        <v>3.3229166666666665</v>
      </c>
      <c r="J31" t="str">
        <f ca="1"/>
        <v>C+</v>
      </c>
    </row>
    <row r="32" spans="1:10" x14ac:dyDescent="0.3">
      <c r="A32">
        <v>30</v>
      </c>
      <c r="B32" t="str">
        <f ca="1"/>
        <v>25M-A13-0008</v>
      </c>
      <c r="C32" t="str">
        <f ca="1"/>
        <v>Eka Utama</v>
      </c>
      <c r="D32" t="str">
        <f ca="1"/>
        <v>P</v>
      </c>
      <c r="E32">
        <f ca="1"/>
        <v>2025</v>
      </c>
      <c r="F32" t="str">
        <f ca="1"/>
        <v>Sains</v>
      </c>
      <c r="G32" t="str">
        <f ca="1"/>
        <v>Biologi</v>
      </c>
      <c r="H32">
        <f ca="1"/>
        <v>2</v>
      </c>
      <c r="I32" s="3">
        <f ca="1"/>
        <v>3.15625</v>
      </c>
      <c r="J32" t="str">
        <f ca="1"/>
        <v>C</v>
      </c>
    </row>
    <row r="33" spans="1:10" x14ac:dyDescent="0.3">
      <c r="A33">
        <v>31</v>
      </c>
      <c r="B33" t="str">
        <f ca="1"/>
        <v>25M-A13-0011</v>
      </c>
      <c r="C33" t="str">
        <f ca="1"/>
        <v>Nurul Oktavianus</v>
      </c>
      <c r="D33" t="str">
        <f ca="1"/>
        <v>P</v>
      </c>
      <c r="E33">
        <f ca="1"/>
        <v>2025</v>
      </c>
      <c r="F33" t="str">
        <f ca="1"/>
        <v>Sains</v>
      </c>
      <c r="G33" t="str">
        <f ca="1"/>
        <v>Biologi</v>
      </c>
      <c r="H33">
        <f ca="1"/>
        <v>2</v>
      </c>
      <c r="I33" s="3">
        <f ca="1"/>
        <v>3.4166666666666665</v>
      </c>
      <c r="J33" t="str">
        <f ca="1"/>
        <v>B</v>
      </c>
    </row>
    <row r="34" spans="1:10" x14ac:dyDescent="0.3">
      <c r="A34">
        <v>32</v>
      </c>
      <c r="B34" t="str">
        <f ca="1"/>
        <v>25M-A13-0012</v>
      </c>
      <c r="C34" t="str">
        <f ca="1"/>
        <v>Mega Siregar</v>
      </c>
      <c r="D34" t="str">
        <f ca="1"/>
        <v>P</v>
      </c>
      <c r="E34">
        <f ca="1"/>
        <v>2025</v>
      </c>
      <c r="F34" t="str">
        <f ca="1"/>
        <v>Sains</v>
      </c>
      <c r="G34" t="str">
        <f ca="1"/>
        <v>Biologi</v>
      </c>
      <c r="H34">
        <f ca="1"/>
        <v>2</v>
      </c>
      <c r="I34" s="3">
        <f ca="1"/>
        <v>3.3645833333333335</v>
      </c>
      <c r="J34" t="str">
        <f ca="1"/>
        <v>C+</v>
      </c>
    </row>
    <row r="35" spans="1:10" x14ac:dyDescent="0.3">
      <c r="A35">
        <v>33</v>
      </c>
      <c r="B35" t="str">
        <f ca="1"/>
        <v>25M-A13-0014</v>
      </c>
      <c r="C35" t="str">
        <f ca="1"/>
        <v>Arif Permana</v>
      </c>
      <c r="D35" t="str">
        <f ca="1"/>
        <v>L</v>
      </c>
      <c r="E35">
        <f ca="1"/>
        <v>2025</v>
      </c>
      <c r="F35" t="str">
        <f ca="1"/>
        <v>Sains</v>
      </c>
      <c r="G35" t="str">
        <f ca="1"/>
        <v>Biologi</v>
      </c>
      <c r="H35">
        <f ca="1"/>
        <v>2</v>
      </c>
      <c r="I35" s="3">
        <f ca="1"/>
        <v>3.0625</v>
      </c>
      <c r="J35" t="str">
        <f ca="1"/>
        <v>C</v>
      </c>
    </row>
    <row r="36" spans="1:10" x14ac:dyDescent="0.3">
      <c r="A36">
        <v>34</v>
      </c>
      <c r="B36" t="str">
        <f ca="1"/>
        <v>25M-A21-0001</v>
      </c>
      <c r="C36" t="str">
        <f ca="1"/>
        <v>Jihan Kusuma</v>
      </c>
      <c r="D36" t="str">
        <f ca="1"/>
        <v>P</v>
      </c>
      <c r="E36">
        <f ca="1"/>
        <v>2025</v>
      </c>
      <c r="F36" t="str">
        <f ca="1"/>
        <v>Teknik</v>
      </c>
      <c r="G36" t="str">
        <f ca="1"/>
        <v>Teknik Informatika</v>
      </c>
      <c r="H36">
        <f ca="1"/>
        <v>2</v>
      </c>
      <c r="I36" s="3">
        <f ca="1"/>
        <v>3.4791666666666665</v>
      </c>
      <c r="J36" t="str">
        <f ca="1"/>
        <v>C+</v>
      </c>
    </row>
    <row r="37" spans="1:10" x14ac:dyDescent="0.3">
      <c r="A37">
        <v>35</v>
      </c>
      <c r="B37" t="str">
        <f ca="1"/>
        <v>25M-A21-0002</v>
      </c>
      <c r="C37" t="str">
        <f ca="1"/>
        <v>Naufal Setiawan</v>
      </c>
      <c r="D37" t="str">
        <f ca="1"/>
        <v>L</v>
      </c>
      <c r="E37">
        <f ca="1"/>
        <v>2025</v>
      </c>
      <c r="F37" t="str">
        <f ca="1"/>
        <v>Teknik</v>
      </c>
      <c r="G37" t="str">
        <f ca="1"/>
        <v>Teknik Informatika</v>
      </c>
      <c r="H37">
        <f ca="1"/>
        <v>2</v>
      </c>
      <c r="I37" s="3">
        <f ca="1"/>
        <v>3.0208333333333335</v>
      </c>
      <c r="J37" t="str">
        <f ca="1"/>
        <v>C+</v>
      </c>
    </row>
    <row r="38" spans="1:10" x14ac:dyDescent="0.3">
      <c r="A38">
        <v>36</v>
      </c>
      <c r="B38" t="str">
        <f ca="1"/>
        <v>25M-A21-0003</v>
      </c>
      <c r="C38" t="str">
        <f ca="1"/>
        <v>Rafi Nugroho</v>
      </c>
      <c r="D38" t="str">
        <f ca="1"/>
        <v>L</v>
      </c>
      <c r="E38">
        <f ca="1"/>
        <v>2025</v>
      </c>
      <c r="F38" t="str">
        <f ca="1"/>
        <v>Teknik</v>
      </c>
      <c r="G38" t="str">
        <f ca="1"/>
        <v>Teknik Informatika</v>
      </c>
      <c r="H38">
        <f ca="1"/>
        <v>2</v>
      </c>
      <c r="I38" s="3">
        <f ca="1"/>
        <v>3.4375</v>
      </c>
      <c r="J38" t="str">
        <f ca="1"/>
        <v>B-</v>
      </c>
    </row>
    <row r="39" spans="1:10" x14ac:dyDescent="0.3">
      <c r="A39">
        <v>37</v>
      </c>
      <c r="B39" t="str">
        <f ca="1"/>
        <v>25M-A21-0005</v>
      </c>
      <c r="C39" t="str">
        <f ca="1"/>
        <v>Yana Mardiana</v>
      </c>
      <c r="D39" t="str">
        <f ca="1"/>
        <v>P</v>
      </c>
      <c r="E39">
        <f ca="1"/>
        <v>2025</v>
      </c>
      <c r="F39" t="str">
        <f ca="1"/>
        <v>Teknik</v>
      </c>
      <c r="G39" t="str">
        <f ca="1"/>
        <v>Teknik Informatika</v>
      </c>
      <c r="H39">
        <f ca="1"/>
        <v>2</v>
      </c>
      <c r="I39" s="3">
        <f ca="1"/>
        <v>3.4895833333333335</v>
      </c>
      <c r="J39" t="str">
        <f ca="1"/>
        <v>B-</v>
      </c>
    </row>
    <row r="40" spans="1:10" x14ac:dyDescent="0.3">
      <c r="A40">
        <v>38</v>
      </c>
      <c r="B40" t="str">
        <f ca="1"/>
        <v>25M-A21-0006</v>
      </c>
      <c r="C40" t="str">
        <f ca="1"/>
        <v>Bayu Nugroho</v>
      </c>
      <c r="D40" t="str">
        <f ca="1"/>
        <v>L</v>
      </c>
      <c r="E40">
        <f ca="1"/>
        <v>2025</v>
      </c>
      <c r="F40" t="str">
        <f ca="1"/>
        <v>Teknik</v>
      </c>
      <c r="G40" t="str">
        <f ca="1"/>
        <v>Teknik Informatika</v>
      </c>
      <c r="H40">
        <f ca="1"/>
        <v>2</v>
      </c>
      <c r="I40" s="3">
        <f ca="1"/>
        <v>3.28125</v>
      </c>
      <c r="J40" t="str">
        <f ca="1"/>
        <v>B-</v>
      </c>
    </row>
    <row r="41" spans="1:10" x14ac:dyDescent="0.3">
      <c r="A41">
        <v>39</v>
      </c>
      <c r="B41" t="str">
        <f ca="1"/>
        <v>25M-A21-0010</v>
      </c>
      <c r="C41" t="str">
        <f ca="1"/>
        <v>Zaki Susanto</v>
      </c>
      <c r="D41" t="str">
        <f ca="1"/>
        <v>L</v>
      </c>
      <c r="E41">
        <f ca="1"/>
        <v>2025</v>
      </c>
      <c r="F41" t="str">
        <f ca="1"/>
        <v>Teknik</v>
      </c>
      <c r="G41" t="str">
        <f ca="1"/>
        <v>Teknik Informatika</v>
      </c>
      <c r="H41">
        <f ca="1"/>
        <v>2</v>
      </c>
      <c r="I41" s="3">
        <f ca="1"/>
        <v>3.25</v>
      </c>
      <c r="J41" t="str">
        <f ca="1"/>
        <v>C</v>
      </c>
    </row>
    <row r="42" spans="1:10" x14ac:dyDescent="0.3">
      <c r="A42">
        <v>40</v>
      </c>
      <c r="B42" t="str">
        <f ca="1"/>
        <v>25M-A21-0011</v>
      </c>
      <c r="C42" t="str">
        <f ca="1"/>
        <v>Prita Wijaya</v>
      </c>
      <c r="D42" t="str">
        <f ca="1"/>
        <v>P</v>
      </c>
      <c r="E42">
        <f ca="1"/>
        <v>2025</v>
      </c>
      <c r="F42" t="str">
        <f ca="1"/>
        <v>Teknik</v>
      </c>
      <c r="G42" t="str">
        <f ca="1"/>
        <v>Teknik Informatika</v>
      </c>
      <c r="H42">
        <f ca="1"/>
        <v>2</v>
      </c>
      <c r="I42" s="3">
        <f ca="1"/>
        <v>3.375</v>
      </c>
      <c r="J42" t="str">
        <f ca="1"/>
        <v>C+</v>
      </c>
    </row>
    <row r="43" spans="1:10" x14ac:dyDescent="0.3">
      <c r="A43">
        <v>41</v>
      </c>
      <c r="B43" t="str">
        <f ca="1"/>
        <v>25M-A21-0016</v>
      </c>
      <c r="C43" t="str">
        <f ca="1"/>
        <v>Pandu Permana</v>
      </c>
      <c r="D43" t="str">
        <f ca="1"/>
        <v>L</v>
      </c>
      <c r="E43">
        <f ca="1"/>
        <v>2025</v>
      </c>
      <c r="F43" t="str">
        <f ca="1"/>
        <v>Teknik</v>
      </c>
      <c r="G43" t="str">
        <f ca="1"/>
        <v>Teknik Informatika</v>
      </c>
      <c r="H43">
        <f ca="1"/>
        <v>2</v>
      </c>
      <c r="I43" s="3">
        <f ca="1"/>
        <v>3.1458333333333335</v>
      </c>
      <c r="J43" t="str">
        <f ca="1"/>
        <v>C</v>
      </c>
    </row>
    <row r="44" spans="1:10" x14ac:dyDescent="0.3">
      <c r="A44">
        <v>42</v>
      </c>
      <c r="B44" t="str">
        <f ca="1"/>
        <v>25M-A22-0003</v>
      </c>
      <c r="C44" t="str">
        <f ca="1"/>
        <v>Bayu Wibowo</v>
      </c>
      <c r="D44" t="str">
        <f ca="1"/>
        <v>L</v>
      </c>
      <c r="E44">
        <f ca="1"/>
        <v>2025</v>
      </c>
      <c r="F44" t="str">
        <f ca="1"/>
        <v>Teknik</v>
      </c>
      <c r="G44" t="str">
        <f ca="1"/>
        <v>Teknik Industri</v>
      </c>
      <c r="H44">
        <f ca="1"/>
        <v>2</v>
      </c>
      <c r="I44" s="3">
        <f ca="1"/>
        <v>3.78125</v>
      </c>
      <c r="J44" t="str">
        <f ca="1"/>
        <v>B+</v>
      </c>
    </row>
    <row r="45" spans="1:10" x14ac:dyDescent="0.3">
      <c r="A45">
        <v>43</v>
      </c>
      <c r="B45" t="str">
        <f ca="1"/>
        <v>25M-A22-0004</v>
      </c>
      <c r="C45" t="str">
        <f ca="1"/>
        <v>Lina Setiawan</v>
      </c>
      <c r="D45" t="str">
        <f ca="1"/>
        <v>P</v>
      </c>
      <c r="E45">
        <f ca="1"/>
        <v>2025</v>
      </c>
      <c r="F45" t="str">
        <f ca="1"/>
        <v>Teknik</v>
      </c>
      <c r="G45" t="str">
        <f ca="1"/>
        <v>Teknik Industri</v>
      </c>
      <c r="H45">
        <f ca="1"/>
        <v>2</v>
      </c>
      <c r="I45" s="3">
        <f ca="1"/>
        <v>3.0625</v>
      </c>
      <c r="J45" t="str">
        <f ca="1"/>
        <v>C</v>
      </c>
    </row>
    <row r="46" spans="1:10" x14ac:dyDescent="0.3">
      <c r="A46">
        <v>44</v>
      </c>
      <c r="B46" t="str">
        <f ca="1"/>
        <v>25M-A22-0007</v>
      </c>
      <c r="C46" t="str">
        <f ca="1"/>
        <v>Eka Maulana</v>
      </c>
      <c r="D46" t="str">
        <f ca="1"/>
        <v>P</v>
      </c>
      <c r="E46">
        <f ca="1"/>
        <v>2025</v>
      </c>
      <c r="F46" t="str">
        <f ca="1"/>
        <v>Teknik</v>
      </c>
      <c r="G46" t="str">
        <f ca="1"/>
        <v>Teknik Industri</v>
      </c>
      <c r="H46">
        <f ca="1"/>
        <v>2</v>
      </c>
      <c r="I46" s="3">
        <f ca="1"/>
        <v>3.0208333333333335</v>
      </c>
      <c r="J46" t="str">
        <f ca="1"/>
        <v>C</v>
      </c>
    </row>
    <row r="47" spans="1:10" x14ac:dyDescent="0.3">
      <c r="A47">
        <v>45</v>
      </c>
      <c r="B47" t="str">
        <f ca="1"/>
        <v>25M-A22-0010</v>
      </c>
      <c r="C47" t="str">
        <f ca="1"/>
        <v>Zaki Siregar</v>
      </c>
      <c r="D47" t="str">
        <f ca="1"/>
        <v>L</v>
      </c>
      <c r="E47">
        <f ca="1"/>
        <v>2025</v>
      </c>
      <c r="F47" t="str">
        <f ca="1"/>
        <v>Teknik</v>
      </c>
      <c r="G47" t="str">
        <f ca="1"/>
        <v>Teknik Industri</v>
      </c>
      <c r="H47">
        <f ca="1"/>
        <v>2</v>
      </c>
      <c r="I47" s="3">
        <f ca="1"/>
        <v>3.0729166666666665</v>
      </c>
      <c r="J47" t="str">
        <f ca="1"/>
        <v>C</v>
      </c>
    </row>
    <row r="48" spans="1:10" x14ac:dyDescent="0.3">
      <c r="A48">
        <v>46</v>
      </c>
      <c r="B48" t="str">
        <f ca="1"/>
        <v>25M-A22-0011</v>
      </c>
      <c r="C48" t="str">
        <f ca="1"/>
        <v>Nadia Lesmana</v>
      </c>
      <c r="D48" t="str">
        <f ca="1"/>
        <v>P</v>
      </c>
      <c r="E48">
        <f ca="1"/>
        <v>2025</v>
      </c>
      <c r="F48" t="str">
        <f ca="1"/>
        <v>Teknik</v>
      </c>
      <c r="G48" t="str">
        <f ca="1"/>
        <v>Teknik Industri</v>
      </c>
      <c r="H48">
        <f ca="1"/>
        <v>2</v>
      </c>
      <c r="I48" s="3">
        <f ca="1"/>
        <v>3.6041666666666665</v>
      </c>
      <c r="J48" t="str">
        <f ca="1"/>
        <v>B</v>
      </c>
    </row>
    <row r="49" spans="1:10" x14ac:dyDescent="0.3">
      <c r="A49">
        <v>47</v>
      </c>
      <c r="B49" t="str">
        <f ca="1"/>
        <v>25M-A22-0014</v>
      </c>
      <c r="C49" t="str">
        <f ca="1"/>
        <v>Dimas Kusuma</v>
      </c>
      <c r="D49" t="str">
        <f ca="1"/>
        <v>L</v>
      </c>
      <c r="E49">
        <f ca="1"/>
        <v>2025</v>
      </c>
      <c r="F49" t="str">
        <f ca="1"/>
        <v>Teknik</v>
      </c>
      <c r="G49" t="str">
        <f ca="1"/>
        <v>Teknik Industri</v>
      </c>
      <c r="H49">
        <f ca="1"/>
        <v>2</v>
      </c>
      <c r="I49" s="3">
        <f ca="1"/>
        <v>3.15625</v>
      </c>
      <c r="J49" t="str">
        <f ca="1"/>
        <v>C</v>
      </c>
    </row>
    <row r="50" spans="1:10" x14ac:dyDescent="0.3">
      <c r="A50">
        <v>48</v>
      </c>
      <c r="B50" t="str">
        <f ca="1"/>
        <v>25M-A31-0004</v>
      </c>
      <c r="C50" t="str">
        <f ca="1"/>
        <v>Dinda Prasetyo</v>
      </c>
      <c r="D50" t="str">
        <f ca="1"/>
        <v>P</v>
      </c>
      <c r="E50">
        <f ca="1"/>
        <v>2025</v>
      </c>
      <c r="F50" t="str">
        <f ca="1"/>
        <v>Ekonomi</v>
      </c>
      <c r="G50" t="str">
        <f ca="1"/>
        <v>Manajemen</v>
      </c>
      <c r="H50">
        <f ca="1"/>
        <v>2</v>
      </c>
      <c r="I50" s="3">
        <f ca="1"/>
        <v>3</v>
      </c>
      <c r="J50" t="str">
        <f ca="1"/>
        <v>C</v>
      </c>
    </row>
    <row r="51" spans="1:10" x14ac:dyDescent="0.3">
      <c r="A51">
        <v>49</v>
      </c>
      <c r="B51" t="str">
        <f ca="1"/>
        <v>25M-A31-0005</v>
      </c>
      <c r="C51" t="str">
        <f ca="1"/>
        <v>Gema Gunawan</v>
      </c>
      <c r="D51" t="str">
        <f ca="1"/>
        <v>P</v>
      </c>
      <c r="E51">
        <f ca="1"/>
        <v>2025</v>
      </c>
      <c r="F51" t="str">
        <f ca="1"/>
        <v>Ekonomi</v>
      </c>
      <c r="G51" t="str">
        <f ca="1"/>
        <v>Manajemen</v>
      </c>
      <c r="H51">
        <f ca="1"/>
        <v>2</v>
      </c>
      <c r="I51" s="3">
        <f ca="1"/>
        <v>3.3541666666666665</v>
      </c>
      <c r="J51" t="str">
        <f ca="1"/>
        <v>C</v>
      </c>
    </row>
    <row r="52" spans="1:10" x14ac:dyDescent="0.3">
      <c r="A52">
        <v>50</v>
      </c>
      <c r="B52" t="str">
        <f ca="1"/>
        <v>25M-A31-0006</v>
      </c>
      <c r="C52" t="str">
        <f ca="1"/>
        <v>Citra Utama</v>
      </c>
      <c r="D52" t="str">
        <f ca="1"/>
        <v>P</v>
      </c>
      <c r="E52">
        <f ca="1"/>
        <v>2025</v>
      </c>
      <c r="F52" t="str">
        <f ca="1"/>
        <v>Ekonomi</v>
      </c>
      <c r="G52" t="str">
        <f ca="1"/>
        <v>Manajemen</v>
      </c>
      <c r="H52">
        <f ca="1"/>
        <v>2</v>
      </c>
      <c r="I52" s="3">
        <f ca="1"/>
        <v>3.4270833333333335</v>
      </c>
      <c r="J52" t="str">
        <f ca="1"/>
        <v>C</v>
      </c>
    </row>
    <row r="53" spans="1:10" x14ac:dyDescent="0.3">
      <c r="A53">
        <v>51</v>
      </c>
      <c r="B53" t="str">
        <f ca="1"/>
        <v>25M-A31-0009</v>
      </c>
      <c r="C53" t="str">
        <f ca="1"/>
        <v>Candra Yusnita</v>
      </c>
      <c r="D53" t="str">
        <f ca="1"/>
        <v>L</v>
      </c>
      <c r="E53">
        <f ca="1"/>
        <v>2025</v>
      </c>
      <c r="F53" t="str">
        <f ca="1"/>
        <v>Ekonomi</v>
      </c>
      <c r="G53" t="str">
        <f ca="1"/>
        <v>Manajemen</v>
      </c>
      <c r="H53">
        <f ca="1"/>
        <v>2</v>
      </c>
      <c r="I53" s="3">
        <f ca="1"/>
        <v>3.125</v>
      </c>
      <c r="J53" t="str">
        <f ca="1"/>
        <v>C</v>
      </c>
    </row>
    <row r="54" spans="1:10" x14ac:dyDescent="0.3">
      <c r="A54">
        <v>52</v>
      </c>
      <c r="B54" t="str">
        <f ca="1"/>
        <v>25M-A31-0010</v>
      </c>
      <c r="C54" t="str">
        <f ca="1"/>
        <v>Wulan Halim</v>
      </c>
      <c r="D54" t="str">
        <f ca="1"/>
        <v>P</v>
      </c>
      <c r="E54">
        <f ca="1"/>
        <v>2025</v>
      </c>
      <c r="F54" t="str">
        <f ca="1"/>
        <v>Ekonomi</v>
      </c>
      <c r="G54" t="str">
        <f ca="1"/>
        <v>Manajemen</v>
      </c>
      <c r="H54">
        <f ca="1"/>
        <v>2</v>
      </c>
      <c r="I54" s="3">
        <f ca="1"/>
        <v>3.0833333333333335</v>
      </c>
      <c r="J54" t="str">
        <f ca="1"/>
        <v>C+</v>
      </c>
    </row>
    <row r="55" spans="1:10" x14ac:dyDescent="0.3">
      <c r="A55">
        <v>53</v>
      </c>
      <c r="B55" t="str">
        <f ca="1"/>
        <v>25M-A31-0013</v>
      </c>
      <c r="C55" t="str">
        <f ca="1"/>
        <v>Ilham Kusuma</v>
      </c>
      <c r="D55" t="str">
        <f ca="1"/>
        <v>L</v>
      </c>
      <c r="E55">
        <f ca="1"/>
        <v>2025</v>
      </c>
      <c r="F55" t="str">
        <f ca="1"/>
        <v>Ekonomi</v>
      </c>
      <c r="G55" t="str">
        <f ca="1"/>
        <v>Manajemen</v>
      </c>
      <c r="H55">
        <f ca="1"/>
        <v>2</v>
      </c>
      <c r="I55" s="3">
        <f ca="1"/>
        <v>3.25</v>
      </c>
      <c r="J55" t="str">
        <f ca="1"/>
        <v>C+</v>
      </c>
    </row>
    <row r="56" spans="1:10" x14ac:dyDescent="0.3">
      <c r="A56">
        <v>54</v>
      </c>
      <c r="B56" t="str">
        <f ca="1"/>
        <v>25M-A31-0014</v>
      </c>
      <c r="C56" t="str">
        <f ca="1"/>
        <v>Candra Utama</v>
      </c>
      <c r="D56" t="str">
        <f ca="1"/>
        <v>L</v>
      </c>
      <c r="E56">
        <f ca="1"/>
        <v>2025</v>
      </c>
      <c r="F56" t="str">
        <f ca="1"/>
        <v>Ekonomi</v>
      </c>
      <c r="G56" t="str">
        <f ca="1"/>
        <v>Manajemen</v>
      </c>
      <c r="H56">
        <f ca="1"/>
        <v>2</v>
      </c>
      <c r="I56" s="3">
        <f ca="1"/>
        <v>3.3645833333333335</v>
      </c>
      <c r="J56" t="str">
        <f ca="1"/>
        <v>C+</v>
      </c>
    </row>
    <row r="57" spans="1:10" x14ac:dyDescent="0.3">
      <c r="A57">
        <v>55</v>
      </c>
      <c r="B57" t="str">
        <f ca="1"/>
        <v>25M-A32-0002</v>
      </c>
      <c r="C57" t="str">
        <f ca="1"/>
        <v>Gita Kurnia</v>
      </c>
      <c r="D57" t="str">
        <f ca="1"/>
        <v>P</v>
      </c>
      <c r="E57">
        <f ca="1"/>
        <v>2025</v>
      </c>
      <c r="F57" t="str">
        <f ca="1"/>
        <v>Ekonomi</v>
      </c>
      <c r="G57" t="str">
        <f ca="1"/>
        <v xml:space="preserve"> Akuntansi</v>
      </c>
      <c r="H57">
        <f ca="1"/>
        <v>2</v>
      </c>
      <c r="I57" s="3">
        <f ca="1"/>
        <v>3.5416666666666665</v>
      </c>
      <c r="J57" t="str">
        <f ca="1"/>
        <v>B-</v>
      </c>
    </row>
    <row r="58" spans="1:10" x14ac:dyDescent="0.3">
      <c r="A58">
        <v>56</v>
      </c>
      <c r="B58" t="str">
        <f ca="1"/>
        <v>25M-A32-0003</v>
      </c>
      <c r="C58" t="str">
        <f ca="1"/>
        <v>Lina Octaviani</v>
      </c>
      <c r="D58" t="str">
        <f ca="1"/>
        <v>P</v>
      </c>
      <c r="E58">
        <f ca="1"/>
        <v>2025</v>
      </c>
      <c r="F58" t="str">
        <f ca="1"/>
        <v>Ekonomi</v>
      </c>
      <c r="G58" t="str">
        <f ca="1"/>
        <v xml:space="preserve"> Akuntansi</v>
      </c>
      <c r="H58">
        <f ca="1"/>
        <v>2</v>
      </c>
      <c r="I58" s="3">
        <f ca="1"/>
        <v>3.3645833333333335</v>
      </c>
      <c r="J58" t="str">
        <f ca="1"/>
        <v>C+</v>
      </c>
    </row>
    <row r="59" spans="1:10" x14ac:dyDescent="0.3">
      <c r="A59">
        <v>57</v>
      </c>
      <c r="B59" t="str">
        <f ca="1"/>
        <v>25M-A32-0004</v>
      </c>
      <c r="C59" t="str">
        <f ca="1"/>
        <v>Zahra Junaedi</v>
      </c>
      <c r="D59" t="str">
        <f ca="1"/>
        <v>P</v>
      </c>
      <c r="E59">
        <f ca="1"/>
        <v>2025</v>
      </c>
      <c r="F59" t="str">
        <f ca="1"/>
        <v>Ekonomi</v>
      </c>
      <c r="G59" t="str">
        <f ca="1"/>
        <v xml:space="preserve"> Akuntansi</v>
      </c>
      <c r="H59">
        <f ca="1"/>
        <v>2</v>
      </c>
      <c r="I59" s="3">
        <f ca="1"/>
        <v>3.4895833333333335</v>
      </c>
      <c r="J59" t="str">
        <f ca="1"/>
        <v>B-</v>
      </c>
    </row>
    <row r="60" spans="1:10" x14ac:dyDescent="0.3">
      <c r="A60">
        <v>58</v>
      </c>
      <c r="B60" t="str">
        <f ca="1"/>
        <v>25M-A32-0007</v>
      </c>
      <c r="C60" t="str">
        <f ca="1"/>
        <v>Wulan Lubis</v>
      </c>
      <c r="D60" t="str">
        <f ca="1"/>
        <v>P</v>
      </c>
      <c r="E60">
        <f ca="1"/>
        <v>2025</v>
      </c>
      <c r="F60" t="str">
        <f ca="1"/>
        <v>Ekonomi</v>
      </c>
      <c r="G60" t="str">
        <f ca="1"/>
        <v xml:space="preserve"> Akuntansi</v>
      </c>
      <c r="H60">
        <f ca="1"/>
        <v>2</v>
      </c>
      <c r="I60" s="3">
        <f ca="1"/>
        <v>3.1041666666666665</v>
      </c>
      <c r="J60" t="str">
        <f ca="1"/>
        <v>C</v>
      </c>
    </row>
    <row r="61" spans="1:10" x14ac:dyDescent="0.3">
      <c r="A61">
        <v>59</v>
      </c>
      <c r="B61" t="str">
        <f ca="1"/>
        <v>25M-A32-0008</v>
      </c>
      <c r="C61" t="str">
        <f ca="1"/>
        <v>Farhan Wijaya</v>
      </c>
      <c r="D61" t="str">
        <f ca="1"/>
        <v>L</v>
      </c>
      <c r="E61">
        <f ca="1"/>
        <v>2025</v>
      </c>
      <c r="F61" t="str">
        <f ca="1"/>
        <v>Ekonomi</v>
      </c>
      <c r="G61" t="str">
        <f ca="1"/>
        <v xml:space="preserve"> Akuntansi</v>
      </c>
      <c r="H61">
        <f ca="1"/>
        <v>2</v>
      </c>
      <c r="I61" s="3">
        <f ca="1"/>
        <v>3.1666666666666665</v>
      </c>
      <c r="J61" t="str">
        <f ca="1"/>
        <v>C</v>
      </c>
    </row>
    <row r="62" spans="1:10" x14ac:dyDescent="0.3">
      <c r="A62">
        <v>60</v>
      </c>
      <c r="B62" t="str">
        <f ca="1"/>
        <v>25M-A32-0011</v>
      </c>
      <c r="C62" t="str">
        <f ca="1"/>
        <v>Gilang Ramadhan</v>
      </c>
      <c r="D62" t="str">
        <f ca="1"/>
        <v>L</v>
      </c>
      <c r="E62">
        <f ca="1"/>
        <v>2025</v>
      </c>
      <c r="F62" t="str">
        <f ca="1"/>
        <v>Ekonomi</v>
      </c>
      <c r="G62" t="str">
        <f ca="1"/>
        <v xml:space="preserve"> Akuntansi</v>
      </c>
      <c r="H62">
        <f ca="1"/>
        <v>2</v>
      </c>
      <c r="I62" s="3">
        <f ca="1"/>
        <v>3.15625</v>
      </c>
      <c r="J62" t="str">
        <f ca="1"/>
        <v>C+</v>
      </c>
    </row>
    <row r="63" spans="1:10" x14ac:dyDescent="0.3">
      <c r="A63">
        <v>61</v>
      </c>
      <c r="B63" t="str">
        <f ca="1"/>
        <v>25M-A32-0012</v>
      </c>
      <c r="C63" t="str">
        <f ca="1"/>
        <v>Fitri Wibowo</v>
      </c>
      <c r="D63" t="str">
        <f ca="1"/>
        <v>P</v>
      </c>
      <c r="E63">
        <f ca="1"/>
        <v>2025</v>
      </c>
      <c r="F63" t="str">
        <f ca="1"/>
        <v>Ekonomi</v>
      </c>
      <c r="G63" t="str">
        <f ca="1"/>
        <v xml:space="preserve"> Akuntansi</v>
      </c>
      <c r="H63">
        <f ca="1"/>
        <v>2</v>
      </c>
      <c r="I63" s="3">
        <f ca="1"/>
        <v>3.21875</v>
      </c>
      <c r="J63" t="str">
        <f ca="1"/>
        <v>C</v>
      </c>
    </row>
    <row r="64" spans="1:10" x14ac:dyDescent="0.3">
      <c r="A64">
        <v>62</v>
      </c>
      <c r="B64" t="str">
        <f ca="1"/>
        <v>25M-A32-0013</v>
      </c>
      <c r="C64" t="str">
        <f ca="1"/>
        <v>Bambang Octaviani</v>
      </c>
      <c r="D64" t="str">
        <f ca="1"/>
        <v>L</v>
      </c>
      <c r="E64">
        <f ca="1"/>
        <v>2025</v>
      </c>
      <c r="F64" t="str">
        <f ca="1"/>
        <v>Ekonomi</v>
      </c>
      <c r="G64" t="str">
        <f ca="1"/>
        <v xml:space="preserve"> Akuntansi</v>
      </c>
      <c r="H64">
        <f ca="1"/>
        <v>2</v>
      </c>
      <c r="I64" s="3">
        <f ca="1"/>
        <v>3.2916666666666665</v>
      </c>
      <c r="J64" t="str">
        <f ca="1"/>
        <v>C+</v>
      </c>
    </row>
    <row r="65" spans="1:10" x14ac:dyDescent="0.3">
      <c r="A65">
        <v>63</v>
      </c>
      <c r="B65" t="str">
        <f ca="1"/>
        <v>25M-A32-0014</v>
      </c>
      <c r="C65" t="str">
        <f ca="1"/>
        <v>Farhan Prasetyo</v>
      </c>
      <c r="D65" t="str">
        <f ca="1"/>
        <v>L</v>
      </c>
      <c r="E65">
        <f ca="1"/>
        <v>2025</v>
      </c>
      <c r="F65" t="str">
        <f ca="1"/>
        <v>Ekonomi</v>
      </c>
      <c r="G65" t="str">
        <f ca="1"/>
        <v xml:space="preserve"> Akuntansi</v>
      </c>
      <c r="H65">
        <f ca="1"/>
        <v>2</v>
      </c>
      <c r="I65" s="3">
        <f ca="1"/>
        <v>3.2916666666666665</v>
      </c>
      <c r="J65" t="str">
        <f ca="1"/>
        <v>B-</v>
      </c>
    </row>
    <row r="66" spans="1:10" x14ac:dyDescent="0.3">
      <c r="A66">
        <v>64</v>
      </c>
      <c r="B66" t="str">
        <f ca="1"/>
        <v>25M-A32-0015</v>
      </c>
      <c r="C66" t="str">
        <f ca="1"/>
        <v>Wulan Yulianto</v>
      </c>
      <c r="D66" t="str">
        <f ca="1"/>
        <v>P</v>
      </c>
      <c r="E66">
        <f ca="1"/>
        <v>2025</v>
      </c>
      <c r="F66" t="str">
        <f ca="1"/>
        <v>Ekonomi</v>
      </c>
      <c r="G66" t="str">
        <f ca="1"/>
        <v xml:space="preserve"> Akuntansi</v>
      </c>
      <c r="H66">
        <f ca="1"/>
        <v>2</v>
      </c>
      <c r="I66" s="3">
        <f ca="1"/>
        <v>3.3020833333333335</v>
      </c>
      <c r="J66" t="str">
        <f ca="1"/>
        <v>C+</v>
      </c>
    </row>
    <row r="67" spans="1:10" x14ac:dyDescent="0.3">
      <c r="A67">
        <v>65</v>
      </c>
      <c r="B67" t="str">
        <f ca="1"/>
        <v>25M-A32-0016</v>
      </c>
      <c r="C67" t="str">
        <f ca="1"/>
        <v>Wati Lesmana</v>
      </c>
      <c r="D67" t="str">
        <f ca="1"/>
        <v>P</v>
      </c>
      <c r="E67">
        <f ca="1"/>
        <v>2025</v>
      </c>
      <c r="F67" t="str">
        <f ca="1"/>
        <v>Ekonomi</v>
      </c>
      <c r="G67" t="str">
        <f ca="1"/>
        <v xml:space="preserve"> Akuntansi</v>
      </c>
      <c r="H67">
        <f ca="1"/>
        <v>2</v>
      </c>
      <c r="I67" s="3">
        <f ca="1"/>
        <v>3.6041666666666665</v>
      </c>
      <c r="J67" t="str">
        <f ca="1"/>
        <v>B</v>
      </c>
    </row>
    <row r="68" spans="1:10" x14ac:dyDescent="0.3">
      <c r="A68">
        <v>66</v>
      </c>
      <c r="B68" t="str">
        <f ca="1"/>
        <v>25M-A32-0017</v>
      </c>
      <c r="C68" t="str">
        <f ca="1"/>
        <v>Rizky Iskandar</v>
      </c>
      <c r="D68" t="str">
        <f ca="1"/>
        <v>L</v>
      </c>
      <c r="E68">
        <f ca="1"/>
        <v>2025</v>
      </c>
      <c r="F68" t="str">
        <f ca="1"/>
        <v>Ekonomi</v>
      </c>
      <c r="G68" t="str">
        <f ca="1"/>
        <v xml:space="preserve"> Akuntansi</v>
      </c>
      <c r="H68">
        <f ca="1"/>
        <v>2</v>
      </c>
      <c r="I68" s="3">
        <f ca="1"/>
        <v>3.2083333333333335</v>
      </c>
      <c r="J68" t="str">
        <f ca="1"/>
        <v>C+</v>
      </c>
    </row>
    <row r="69" spans="1:10" x14ac:dyDescent="0.3">
      <c r="A69">
        <v>67</v>
      </c>
      <c r="B69" t="str">
        <f ca="1"/>
        <v>25M-A32-0020</v>
      </c>
      <c r="C69" t="str">
        <f ca="1"/>
        <v>Okta Gunawan</v>
      </c>
      <c r="D69" t="str">
        <f ca="1"/>
        <v>P</v>
      </c>
      <c r="E69">
        <f ca="1"/>
        <v>2025</v>
      </c>
      <c r="F69" t="str">
        <f ca="1"/>
        <v>Ekonomi</v>
      </c>
      <c r="G69" t="str">
        <f ca="1"/>
        <v xml:space="preserve"> Akuntansi</v>
      </c>
      <c r="H69">
        <f ca="1"/>
        <v>2</v>
      </c>
      <c r="I69" s="3">
        <f ca="1"/>
        <v>2.9270833333333335</v>
      </c>
      <c r="J69" t="str">
        <f ca="1"/>
        <v>C</v>
      </c>
    </row>
    <row r="70" spans="1:10" x14ac:dyDescent="0.3">
      <c r="A70">
        <v>68</v>
      </c>
      <c r="B70" t="str">
        <f ca="1"/>
        <v>25M-A32-0022</v>
      </c>
      <c r="C70" t="str">
        <f ca="1"/>
        <v>Ujang Nugroho</v>
      </c>
      <c r="D70" t="str">
        <f ca="1"/>
        <v>L</v>
      </c>
      <c r="E70">
        <f ca="1"/>
        <v>2025</v>
      </c>
      <c r="F70" t="str">
        <f ca="1"/>
        <v>Ekonomi</v>
      </c>
      <c r="G70" t="str">
        <f ca="1"/>
        <v xml:space="preserve"> Akuntansi</v>
      </c>
      <c r="H70">
        <f ca="1"/>
        <v>2</v>
      </c>
      <c r="I70" s="3">
        <f ca="1"/>
        <v>2.9270833333333335</v>
      </c>
      <c r="J70" t="str">
        <f ca="1"/>
        <v>C</v>
      </c>
    </row>
    <row r="71" spans="1:10" x14ac:dyDescent="0.3">
      <c r="A71">
        <v>69</v>
      </c>
      <c r="B71" t="str">
        <f ca="1"/>
        <v>25M-A33-0004</v>
      </c>
      <c r="C71" t="str">
        <f ca="1"/>
        <v>Andi Prasetyo</v>
      </c>
      <c r="D71" t="str">
        <f ca="1"/>
        <v>L</v>
      </c>
      <c r="E71">
        <f ca="1"/>
        <v>2025</v>
      </c>
      <c r="F71" t="str">
        <f ca="1"/>
        <v>Ekonomi</v>
      </c>
      <c r="G71" t="str">
        <f ca="1"/>
        <v>Ekonomi Pembangunan</v>
      </c>
      <c r="H71">
        <f ca="1"/>
        <v>2</v>
      </c>
      <c r="I71" s="3">
        <f ca="1"/>
        <v>3.3333333333333335</v>
      </c>
      <c r="J71" t="str">
        <f ca="1"/>
        <v>C</v>
      </c>
    </row>
    <row r="72" spans="1:10" x14ac:dyDescent="0.3">
      <c r="A72">
        <v>70</v>
      </c>
      <c r="B72" t="str">
        <f ca="1"/>
        <v>25M-A33-0005</v>
      </c>
      <c r="C72" t="str">
        <f ca="1"/>
        <v>Gilang Lubis</v>
      </c>
      <c r="D72" t="str">
        <f ca="1"/>
        <v>L</v>
      </c>
      <c r="E72">
        <f ca="1"/>
        <v>2025</v>
      </c>
      <c r="F72" t="str">
        <f ca="1"/>
        <v>Ekonomi</v>
      </c>
      <c r="G72" t="str">
        <f ca="1"/>
        <v>Ekonomi Pembangunan</v>
      </c>
      <c r="H72">
        <f ca="1"/>
        <v>2</v>
      </c>
      <c r="I72" s="3">
        <f ca="1"/>
        <v>3.7291666666666665</v>
      </c>
      <c r="J72" t="str">
        <f ca="1"/>
        <v>B-</v>
      </c>
    </row>
    <row r="73" spans="1:10" x14ac:dyDescent="0.3">
      <c r="A73">
        <v>71</v>
      </c>
      <c r="B73" t="str">
        <f ca="1"/>
        <v>25M-A33-0007</v>
      </c>
      <c r="C73" t="str">
        <f ca="1"/>
        <v>Eka Yulianto</v>
      </c>
      <c r="D73" t="str">
        <f ca="1"/>
        <v>P</v>
      </c>
      <c r="E73">
        <f ca="1"/>
        <v>2025</v>
      </c>
      <c r="F73" t="str">
        <f ca="1"/>
        <v>Ekonomi</v>
      </c>
      <c r="G73" t="str">
        <f ca="1"/>
        <v>Ekonomi Pembangunan</v>
      </c>
      <c r="H73">
        <f ca="1"/>
        <v>2</v>
      </c>
      <c r="I73" s="3">
        <f ca="1"/>
        <v>3.40625</v>
      </c>
      <c r="J73" t="str">
        <f ca="1"/>
        <v>C</v>
      </c>
    </row>
    <row r="74" spans="1:10" x14ac:dyDescent="0.3">
      <c r="A74">
        <v>72</v>
      </c>
      <c r="B74" t="str">
        <f ca="1"/>
        <v>25M-A33-0009</v>
      </c>
      <c r="C74" t="str">
        <f ca="1"/>
        <v>Oscar Nurdin</v>
      </c>
      <c r="D74" t="str">
        <f ca="1"/>
        <v>L</v>
      </c>
      <c r="E74">
        <f ca="1"/>
        <v>2025</v>
      </c>
      <c r="F74" t="str">
        <f ca="1"/>
        <v>Ekonomi</v>
      </c>
      <c r="G74" t="str">
        <f ca="1"/>
        <v>Ekonomi Pembangunan</v>
      </c>
      <c r="H74">
        <f ca="1"/>
        <v>2</v>
      </c>
      <c r="I74" s="3">
        <f ca="1"/>
        <v>3.1875</v>
      </c>
      <c r="J74" t="str">
        <f ca="1"/>
        <v>C</v>
      </c>
    </row>
    <row r="75" spans="1:10" x14ac:dyDescent="0.3">
      <c r="A75">
        <v>73</v>
      </c>
      <c r="B75" t="str">
        <f ca="1"/>
        <v>25M-A33-0011</v>
      </c>
      <c r="C75" t="str">
        <f ca="1"/>
        <v>Ujang Hidayat</v>
      </c>
      <c r="D75" t="str">
        <f ca="1"/>
        <v>L</v>
      </c>
      <c r="E75">
        <f ca="1"/>
        <v>2025</v>
      </c>
      <c r="F75" t="str">
        <f ca="1"/>
        <v>Ekonomi</v>
      </c>
      <c r="G75" t="str">
        <f ca="1"/>
        <v>Ekonomi Pembangunan</v>
      </c>
      <c r="H75">
        <f ca="1"/>
        <v>2</v>
      </c>
      <c r="I75" s="3">
        <f ca="1"/>
        <v>3.0416666666666665</v>
      </c>
      <c r="J75" t="str">
        <f ca="1"/>
        <v>C</v>
      </c>
    </row>
    <row r="76" spans="1:10" x14ac:dyDescent="0.3">
      <c r="A76">
        <v>74</v>
      </c>
      <c r="B76" t="str">
        <f ca="1"/>
        <v>25M-A33-0012</v>
      </c>
      <c r="C76" t="str">
        <f ca="1"/>
        <v>Tono Kurnia</v>
      </c>
      <c r="D76" t="str">
        <f ca="1"/>
        <v>L</v>
      </c>
      <c r="E76">
        <f ca="1"/>
        <v>2025</v>
      </c>
      <c r="F76" t="str">
        <f ca="1"/>
        <v>Ekonomi</v>
      </c>
      <c r="G76" t="str">
        <f ca="1"/>
        <v>Ekonomi Pembangunan</v>
      </c>
      <c r="H76">
        <f ca="1"/>
        <v>2</v>
      </c>
      <c r="I76" s="3">
        <f ca="1"/>
        <v>3.3020833333333335</v>
      </c>
      <c r="J76" t="str">
        <f ca="1"/>
        <v>C+</v>
      </c>
    </row>
    <row r="77" spans="1:10" x14ac:dyDescent="0.3">
      <c r="A77">
        <v>75</v>
      </c>
      <c r="B77" t="str">
        <f ca="1"/>
        <v>25M-A33-0013</v>
      </c>
      <c r="C77" t="str">
        <f ca="1"/>
        <v>Indah Saputra</v>
      </c>
      <c r="D77" t="str">
        <f ca="1"/>
        <v>P</v>
      </c>
      <c r="E77">
        <f ca="1"/>
        <v>2025</v>
      </c>
      <c r="F77" t="str">
        <f ca="1"/>
        <v>Ekonomi</v>
      </c>
      <c r="G77" t="str">
        <f ca="1"/>
        <v>Ekonomi Pembangunan</v>
      </c>
      <c r="H77">
        <f ca="1"/>
        <v>2</v>
      </c>
      <c r="I77" s="3">
        <f ca="1"/>
        <v>3.3333333333333335</v>
      </c>
      <c r="J77" t="str">
        <f ca="1"/>
        <v>C+</v>
      </c>
    </row>
    <row r="78" spans="1:10" x14ac:dyDescent="0.3">
      <c r="A78">
        <v>76</v>
      </c>
      <c r="B78" t="str">
        <f ca="1"/>
        <v>25M-A41-0001</v>
      </c>
      <c r="C78" t="str">
        <f ca="1"/>
        <v>Jefri Iskandar</v>
      </c>
      <c r="D78" t="str">
        <f ca="1"/>
        <v>L</v>
      </c>
      <c r="E78">
        <f ca="1"/>
        <v>2025</v>
      </c>
      <c r="F78" t="str">
        <f ca="1"/>
        <v>Pertanian</v>
      </c>
      <c r="G78" t="str">
        <f ca="1"/>
        <v>Agroteknologi</v>
      </c>
      <c r="H78">
        <f ca="1"/>
        <v>2</v>
      </c>
      <c r="I78" s="3">
        <f ca="1"/>
        <v>2.875</v>
      </c>
      <c r="J78" t="str">
        <f ca="1"/>
        <v>C</v>
      </c>
    </row>
    <row r="79" spans="1:10" x14ac:dyDescent="0.3">
      <c r="A79">
        <v>77</v>
      </c>
      <c r="B79" t="str">
        <f ca="1"/>
        <v>25M-A41-0002</v>
      </c>
      <c r="C79" t="str">
        <f ca="1"/>
        <v>Yana Octaviani</v>
      </c>
      <c r="D79" t="str">
        <f ca="1"/>
        <v>P</v>
      </c>
      <c r="E79">
        <f ca="1"/>
        <v>2025</v>
      </c>
      <c r="F79" t="str">
        <f ca="1"/>
        <v>Pertanian</v>
      </c>
      <c r="G79" t="str">
        <f ca="1"/>
        <v>Agroteknologi</v>
      </c>
      <c r="H79">
        <f ca="1"/>
        <v>2</v>
      </c>
      <c r="I79" s="3">
        <f ca="1"/>
        <v>3.2083333333333335</v>
      </c>
      <c r="J79" t="str">
        <f ca="1"/>
        <v>C</v>
      </c>
    </row>
    <row r="80" spans="1:10" x14ac:dyDescent="0.3">
      <c r="A80">
        <v>78</v>
      </c>
      <c r="B80" t="str">
        <f ca="1"/>
        <v>25M-A41-0003</v>
      </c>
      <c r="C80" t="str">
        <f ca="1"/>
        <v>Tari Pratama</v>
      </c>
      <c r="D80" t="str">
        <f ca="1"/>
        <v>P</v>
      </c>
      <c r="E80">
        <f ca="1"/>
        <v>2025</v>
      </c>
      <c r="F80" t="str">
        <f ca="1"/>
        <v>Pertanian</v>
      </c>
      <c r="G80" t="str">
        <f ca="1"/>
        <v>Agroteknologi</v>
      </c>
      <c r="H80">
        <f ca="1"/>
        <v>2</v>
      </c>
      <c r="I80" s="3">
        <f ca="1"/>
        <v>3.34375</v>
      </c>
      <c r="J80" t="str">
        <f ca="1"/>
        <v>B-</v>
      </c>
    </row>
    <row r="81" spans="1:10" x14ac:dyDescent="0.3">
      <c r="A81">
        <v>79</v>
      </c>
      <c r="B81" t="str">
        <f ca="1"/>
        <v>25M-A41-0004</v>
      </c>
      <c r="C81" t="str">
        <f ca="1"/>
        <v>Julia Lubis</v>
      </c>
      <c r="D81" t="str">
        <f ca="1"/>
        <v>P</v>
      </c>
      <c r="E81">
        <f ca="1"/>
        <v>2025</v>
      </c>
      <c r="F81" t="str">
        <f ca="1"/>
        <v>Pertanian</v>
      </c>
      <c r="G81" t="str">
        <f ca="1"/>
        <v>Agroteknologi</v>
      </c>
      <c r="H81">
        <f ca="1"/>
        <v>2</v>
      </c>
      <c r="I81" s="3">
        <f ca="1"/>
        <v>2.9791666666666665</v>
      </c>
      <c r="J81" t="str">
        <f ca="1"/>
        <v>C</v>
      </c>
    </row>
    <row r="82" spans="1:10" x14ac:dyDescent="0.3">
      <c r="A82">
        <v>80</v>
      </c>
      <c r="B82" t="str">
        <f ca="1"/>
        <v>25M-A41-0006</v>
      </c>
      <c r="C82" t="str">
        <f ca="1"/>
        <v>Hana Wardani</v>
      </c>
      <c r="D82" t="str">
        <f ca="1"/>
        <v>P</v>
      </c>
      <c r="E82">
        <f ca="1"/>
        <v>2025</v>
      </c>
      <c r="F82" t="str">
        <f ca="1"/>
        <v>Pertanian</v>
      </c>
      <c r="G82" t="str">
        <f ca="1"/>
        <v>Agroteknologi</v>
      </c>
      <c r="H82">
        <f ca="1"/>
        <v>2</v>
      </c>
      <c r="I82" s="3">
        <f ca="1"/>
        <v>3.1770833333333335</v>
      </c>
      <c r="J82" t="str">
        <f ca="1"/>
        <v>C+</v>
      </c>
    </row>
    <row r="83" spans="1:10" x14ac:dyDescent="0.3">
      <c r="A83">
        <v>81</v>
      </c>
      <c r="B83" t="str">
        <f ca="1"/>
        <v>25M-A41-0007</v>
      </c>
      <c r="C83" t="str">
        <f ca="1"/>
        <v>Wahyu Utama</v>
      </c>
      <c r="D83" t="str">
        <f ca="1"/>
        <v>L</v>
      </c>
      <c r="E83">
        <f ca="1"/>
        <v>2025</v>
      </c>
      <c r="F83" t="str">
        <f ca="1"/>
        <v>Pertanian</v>
      </c>
      <c r="G83" t="str">
        <f ca="1"/>
        <v>Agroteknologi</v>
      </c>
      <c r="H83">
        <f ca="1"/>
        <v>2</v>
      </c>
      <c r="I83" s="3">
        <f ca="1"/>
        <v>3.53125</v>
      </c>
      <c r="J83" t="str">
        <f ca="1"/>
        <v>B-</v>
      </c>
    </row>
    <row r="84" spans="1:10" x14ac:dyDescent="0.3">
      <c r="A84">
        <v>82</v>
      </c>
      <c r="B84" t="str">
        <f ca="1"/>
        <v>25M-A41-0009</v>
      </c>
      <c r="C84" t="str">
        <f ca="1"/>
        <v>Farah Siregar</v>
      </c>
      <c r="D84" t="str">
        <f ca="1"/>
        <v>P</v>
      </c>
      <c r="E84">
        <f ca="1"/>
        <v>2025</v>
      </c>
      <c r="F84" t="str">
        <f ca="1"/>
        <v>Pertanian</v>
      </c>
      <c r="G84" t="str">
        <f ca="1"/>
        <v>Agroteknologi</v>
      </c>
      <c r="H84">
        <f ca="1"/>
        <v>2</v>
      </c>
      <c r="I84" s="3">
        <f ca="1"/>
        <v>3.1979166666666665</v>
      </c>
      <c r="J84" t="str">
        <f ca="1"/>
        <v>C</v>
      </c>
    </row>
    <row r="85" spans="1:10" x14ac:dyDescent="0.3">
      <c r="A85">
        <v>83</v>
      </c>
      <c r="B85" t="str">
        <f ca="1"/>
        <v>25M-A41-0012</v>
      </c>
      <c r="C85" t="str">
        <f ca="1"/>
        <v>Sinta Wijaya</v>
      </c>
      <c r="D85" t="str">
        <f ca="1"/>
        <v>P</v>
      </c>
      <c r="E85">
        <f ca="1"/>
        <v>2025</v>
      </c>
      <c r="F85" t="str">
        <f ca="1"/>
        <v>Pertanian</v>
      </c>
      <c r="G85" t="str">
        <f ca="1"/>
        <v>Agroteknologi</v>
      </c>
      <c r="H85">
        <f ca="1"/>
        <v>2</v>
      </c>
      <c r="I85" s="3">
        <f ca="1"/>
        <v>2.9375</v>
      </c>
      <c r="J85" t="str">
        <f ca="1"/>
        <v>C+</v>
      </c>
    </row>
    <row r="86" spans="1:10" x14ac:dyDescent="0.3">
      <c r="A86">
        <v>84</v>
      </c>
      <c r="B86" t="str">
        <f ca="1"/>
        <v>25M-A41-0013</v>
      </c>
      <c r="C86" t="str">
        <f ca="1"/>
        <v>Winda Wahyudi</v>
      </c>
      <c r="D86" t="str">
        <f ca="1"/>
        <v>P</v>
      </c>
      <c r="E86">
        <f ca="1"/>
        <v>2025</v>
      </c>
      <c r="F86" t="str">
        <f ca="1"/>
        <v>Pertanian</v>
      </c>
      <c r="G86" t="str">
        <f ca="1"/>
        <v>Agroteknologi</v>
      </c>
      <c r="H86">
        <f ca="1"/>
        <v>2</v>
      </c>
      <c r="I86" s="3">
        <f ca="1"/>
        <v>3.2291666666666665</v>
      </c>
      <c r="J86" t="str">
        <f ca="1"/>
        <v>C</v>
      </c>
    </row>
    <row r="87" spans="1:10" x14ac:dyDescent="0.3">
      <c r="A87">
        <v>85</v>
      </c>
      <c r="B87" t="str">
        <f ca="1"/>
        <v>25M-A41-0014</v>
      </c>
      <c r="C87" t="str">
        <f ca="1"/>
        <v>Julia Mardiana</v>
      </c>
      <c r="D87" t="str">
        <f ca="1"/>
        <v>P</v>
      </c>
      <c r="E87">
        <f ca="1"/>
        <v>2025</v>
      </c>
      <c r="F87" t="str">
        <f ca="1"/>
        <v>Pertanian</v>
      </c>
      <c r="G87" t="str">
        <f ca="1"/>
        <v>Agroteknologi</v>
      </c>
      <c r="H87">
        <f ca="1"/>
        <v>2</v>
      </c>
      <c r="I87" s="3">
        <f ca="1"/>
        <v>3.21875</v>
      </c>
      <c r="J87" t="str">
        <f ca="1"/>
        <v>C</v>
      </c>
    </row>
    <row r="88" spans="1:10" x14ac:dyDescent="0.3">
      <c r="A88">
        <v>86</v>
      </c>
      <c r="B88" t="str">
        <f ca="1"/>
        <v>25M-A41-0015</v>
      </c>
      <c r="C88" t="str">
        <f ca="1"/>
        <v>Krisna Wibowo</v>
      </c>
      <c r="D88" t="str">
        <f ca="1"/>
        <v>L</v>
      </c>
      <c r="E88">
        <f ca="1"/>
        <v>2025</v>
      </c>
      <c r="F88" t="str">
        <f ca="1"/>
        <v>Pertanian</v>
      </c>
      <c r="G88" t="str">
        <f ca="1"/>
        <v>Agroteknologi</v>
      </c>
      <c r="H88">
        <f ca="1"/>
        <v>2</v>
      </c>
      <c r="I88" s="3">
        <f ca="1"/>
        <v>2.9375</v>
      </c>
      <c r="J88" t="str">
        <f ca="1"/>
        <v>C+</v>
      </c>
    </row>
    <row r="89" spans="1:10" x14ac:dyDescent="0.3">
      <c r="A89">
        <v>87</v>
      </c>
      <c r="B89" t="str">
        <f ca="1"/>
        <v>25M-A42-0001</v>
      </c>
      <c r="C89" t="str">
        <f ca="1"/>
        <v>Ilham Lesmana</v>
      </c>
      <c r="D89" t="str">
        <f ca="1"/>
        <v>L</v>
      </c>
      <c r="E89">
        <f ca="1"/>
        <v>2025</v>
      </c>
      <c r="F89" t="str">
        <f ca="1"/>
        <v>Pertanian</v>
      </c>
      <c r="G89" t="str">
        <f ca="1"/>
        <v>Agribisnis</v>
      </c>
      <c r="H89">
        <f ca="1"/>
        <v>2</v>
      </c>
      <c r="I89" s="3">
        <f ca="1"/>
        <v>3.125</v>
      </c>
      <c r="J89" t="str">
        <f ca="1"/>
        <v>C+</v>
      </c>
    </row>
    <row r="90" spans="1:10" x14ac:dyDescent="0.3">
      <c r="A90">
        <v>88</v>
      </c>
      <c r="B90" t="str">
        <f ca="1"/>
        <v>25M-A42-0002</v>
      </c>
      <c r="C90" t="str">
        <f ca="1"/>
        <v>Tari Irawan</v>
      </c>
      <c r="D90" t="str">
        <f ca="1"/>
        <v>P</v>
      </c>
      <c r="E90">
        <f ca="1"/>
        <v>2025</v>
      </c>
      <c r="F90" t="str">
        <f ca="1"/>
        <v>Pertanian</v>
      </c>
      <c r="G90" t="str">
        <f ca="1"/>
        <v>Agribisnis</v>
      </c>
      <c r="H90">
        <f ca="1"/>
        <v>2</v>
      </c>
      <c r="I90" s="3">
        <f ca="1"/>
        <v>3.2395833333333335</v>
      </c>
      <c r="J90" t="str">
        <f ca="1"/>
        <v>C</v>
      </c>
    </row>
    <row r="91" spans="1:10" x14ac:dyDescent="0.3">
      <c r="A91">
        <v>89</v>
      </c>
      <c r="B91" t="str">
        <f ca="1"/>
        <v>25M-A42-0005</v>
      </c>
      <c r="C91" t="str">
        <f ca="1"/>
        <v>Hendra Hakim</v>
      </c>
      <c r="D91" t="str">
        <f ca="1"/>
        <v>L</v>
      </c>
      <c r="E91">
        <f ca="1"/>
        <v>2025</v>
      </c>
      <c r="F91" t="str">
        <f ca="1"/>
        <v>Pertanian</v>
      </c>
      <c r="G91" t="str">
        <f ca="1"/>
        <v>Agribisnis</v>
      </c>
      <c r="H91">
        <f ca="1"/>
        <v>2</v>
      </c>
      <c r="I91" s="3">
        <f ca="1"/>
        <v>3.3645833333333335</v>
      </c>
      <c r="J91" t="str">
        <f ca="1"/>
        <v>C+</v>
      </c>
    </row>
    <row r="92" spans="1:10" x14ac:dyDescent="0.3">
      <c r="A92">
        <v>90</v>
      </c>
      <c r="B92" t="str">
        <f ca="1"/>
        <v>25M-A42-0006</v>
      </c>
      <c r="C92" t="str">
        <f ca="1"/>
        <v>Fajar Lubis</v>
      </c>
      <c r="D92" t="str">
        <f ca="1"/>
        <v>L</v>
      </c>
      <c r="E92">
        <f ca="1"/>
        <v>2025</v>
      </c>
      <c r="F92" t="str">
        <f ca="1"/>
        <v>Pertanian</v>
      </c>
      <c r="G92" t="str">
        <f ca="1"/>
        <v>Agribisnis</v>
      </c>
      <c r="H92">
        <f ca="1"/>
        <v>2</v>
      </c>
      <c r="I92" s="3">
        <f ca="1"/>
        <v>3.0416666666666665</v>
      </c>
      <c r="J92" t="str">
        <f ca="1"/>
        <v>B-</v>
      </c>
    </row>
    <row r="93" spans="1:10" x14ac:dyDescent="0.3">
      <c r="A93">
        <v>91</v>
      </c>
      <c r="B93" t="str">
        <f ca="1"/>
        <v>25M-A42-0007</v>
      </c>
      <c r="C93" t="str">
        <f ca="1"/>
        <v>Fitri Firmansyah</v>
      </c>
      <c r="D93" t="str">
        <f ca="1"/>
        <v>P</v>
      </c>
      <c r="E93">
        <f ca="1"/>
        <v>2025</v>
      </c>
      <c r="F93" t="str">
        <f ca="1"/>
        <v>Pertanian</v>
      </c>
      <c r="G93" t="str">
        <f ca="1"/>
        <v>Agribisnis</v>
      </c>
      <c r="H93">
        <f ca="1"/>
        <v>2</v>
      </c>
      <c r="I93" s="3">
        <f ca="1"/>
        <v>2.7916666666666665</v>
      </c>
      <c r="J93" t="str">
        <f ca="1"/>
        <v>C</v>
      </c>
    </row>
    <row r="94" spans="1:10" x14ac:dyDescent="0.3">
      <c r="A94">
        <v>92</v>
      </c>
      <c r="B94" t="str">
        <f ca="1"/>
        <v>25M-A42-0008</v>
      </c>
      <c r="C94" t="str">
        <f ca="1"/>
        <v>Umar Permana</v>
      </c>
      <c r="D94" t="str">
        <f ca="1"/>
        <v>L</v>
      </c>
      <c r="E94">
        <f ca="1"/>
        <v>2025</v>
      </c>
      <c r="F94" t="str">
        <f ca="1"/>
        <v>Pertanian</v>
      </c>
      <c r="G94" t="str">
        <f ca="1"/>
        <v>Agribisnis</v>
      </c>
      <c r="H94">
        <f ca="1"/>
        <v>2</v>
      </c>
      <c r="I94" s="3">
        <f ca="1"/>
        <v>2.8020833333333335</v>
      </c>
      <c r="J94" t="str">
        <f ca="1"/>
        <v>C</v>
      </c>
    </row>
    <row r="95" spans="1:10" x14ac:dyDescent="0.3">
      <c r="A95">
        <v>93</v>
      </c>
      <c r="B95" t="str">
        <f ca="1"/>
        <v>25M-A42-0009</v>
      </c>
      <c r="C95" t="str">
        <f ca="1"/>
        <v>Dewi Hidayat</v>
      </c>
      <c r="D95" t="str">
        <f ca="1"/>
        <v>P</v>
      </c>
      <c r="E95">
        <f ca="1"/>
        <v>2025</v>
      </c>
      <c r="F95" t="str">
        <f ca="1"/>
        <v>Pertanian</v>
      </c>
      <c r="G95" t="str">
        <f ca="1"/>
        <v>Agribisnis</v>
      </c>
      <c r="H95">
        <f ca="1"/>
        <v>2</v>
      </c>
      <c r="I95" s="3">
        <f ca="1"/>
        <v>3.3020833333333335</v>
      </c>
      <c r="J95" t="str">
        <f ca="1"/>
        <v>C+</v>
      </c>
    </row>
    <row r="96" spans="1:10" x14ac:dyDescent="0.3">
      <c r="A96">
        <v>94</v>
      </c>
      <c r="B96" t="str">
        <f ca="1"/>
        <v>25M-A42-0012</v>
      </c>
      <c r="C96" t="str">
        <f ca="1"/>
        <v>Mahmud Kusuma</v>
      </c>
      <c r="D96" t="str">
        <f ca="1"/>
        <v>L</v>
      </c>
      <c r="E96">
        <f ca="1"/>
        <v>2025</v>
      </c>
      <c r="F96" t="str">
        <f ca="1"/>
        <v>Pertanian</v>
      </c>
      <c r="G96" t="str">
        <f ca="1"/>
        <v>Agribisnis</v>
      </c>
      <c r="H96">
        <f ca="1"/>
        <v>2</v>
      </c>
      <c r="I96" s="3">
        <f ca="1"/>
        <v>3.0520833333333335</v>
      </c>
      <c r="J96" t="str">
        <f ca="1"/>
        <v>C+</v>
      </c>
    </row>
    <row r="97" spans="1:10" x14ac:dyDescent="0.3">
      <c r="A97">
        <v>95</v>
      </c>
      <c r="B97" t="str">
        <f ca="1"/>
        <v>25M-A42-0014</v>
      </c>
      <c r="C97" t="str">
        <f ca="1"/>
        <v>Citra Mardiana</v>
      </c>
      <c r="D97" t="str">
        <f ca="1"/>
        <v>P</v>
      </c>
      <c r="E97">
        <f ca="1"/>
        <v>2025</v>
      </c>
      <c r="F97" t="str">
        <f ca="1"/>
        <v>Pertanian</v>
      </c>
      <c r="G97" t="str">
        <f ca="1"/>
        <v>Agribisnis</v>
      </c>
      <c r="H97">
        <f ca="1"/>
        <v>2</v>
      </c>
      <c r="I97" s="3">
        <f ca="1"/>
        <v>3.5208333333333335</v>
      </c>
      <c r="J97" t="str">
        <f ca="1"/>
        <v>B-</v>
      </c>
    </row>
    <row r="98" spans="1:10" x14ac:dyDescent="0.3">
      <c r="A98">
        <v>96</v>
      </c>
      <c r="B98" t="str">
        <f ca="1"/>
        <v>25M-A42-0016</v>
      </c>
      <c r="C98" t="str">
        <f ca="1"/>
        <v>Dimas Nugroho</v>
      </c>
      <c r="D98" t="str">
        <f ca="1"/>
        <v>L</v>
      </c>
      <c r="E98">
        <f ca="1"/>
        <v>2025</v>
      </c>
      <c r="F98" t="str">
        <f ca="1"/>
        <v>Pertanian</v>
      </c>
      <c r="G98" t="str">
        <f ca="1"/>
        <v>Agribisnis</v>
      </c>
      <c r="H98">
        <f ca="1"/>
        <v>2</v>
      </c>
      <c r="I98" s="3">
        <f ca="1"/>
        <v>3.1666666666666665</v>
      </c>
      <c r="J98" t="str">
        <f ca="1"/>
        <v>C+</v>
      </c>
    </row>
    <row r="99" spans="1:10" x14ac:dyDescent="0.3">
      <c r="A99">
        <v>97</v>
      </c>
      <c r="B99" t="str">
        <f ca="1"/>
        <v>25M-A42-0018</v>
      </c>
      <c r="C99" t="str">
        <f ca="1"/>
        <v>Sandi Hidayat</v>
      </c>
      <c r="D99" t="str">
        <f ca="1"/>
        <v>L</v>
      </c>
      <c r="E99">
        <f ca="1"/>
        <v>2025</v>
      </c>
      <c r="F99" t="str">
        <f ca="1"/>
        <v>Pertanian</v>
      </c>
      <c r="G99" t="str">
        <f ca="1"/>
        <v>Agribisnis</v>
      </c>
      <c r="H99">
        <f ca="1"/>
        <v>2</v>
      </c>
      <c r="I99" s="3">
        <f ca="1"/>
        <v>3.3541666666666665</v>
      </c>
      <c r="J99" t="str">
        <f ca="1"/>
        <v>C</v>
      </c>
    </row>
    <row r="100" spans="1:10" x14ac:dyDescent="0.3">
      <c r="A100">
        <v>98</v>
      </c>
      <c r="B100" t="str">
        <f ca="1"/>
        <v>25M-A51-0001</v>
      </c>
      <c r="C100" t="str">
        <f ca="1"/>
        <v>Lutfi Halim</v>
      </c>
      <c r="D100" t="str">
        <f ca="1"/>
        <v>L</v>
      </c>
      <c r="E100">
        <f ca="1"/>
        <v>2025</v>
      </c>
      <c r="F100" t="str">
        <f ca="1"/>
        <v>Ilmu Sosial</v>
      </c>
      <c r="G100" t="str">
        <f ca="1"/>
        <v>Administrasi Publik</v>
      </c>
      <c r="H100">
        <f ca="1"/>
        <v>2</v>
      </c>
      <c r="I100" s="3">
        <f ca="1"/>
        <v>3.4479166666666665</v>
      </c>
      <c r="J100" t="str">
        <f ca="1"/>
        <v>B-</v>
      </c>
    </row>
    <row r="101" spans="1:10" x14ac:dyDescent="0.3">
      <c r="A101">
        <v>99</v>
      </c>
      <c r="B101" t="str">
        <f ca="1"/>
        <v>25M-A51-0002</v>
      </c>
      <c r="C101" t="str">
        <f ca="1"/>
        <v>Sandi Prasetyo</v>
      </c>
      <c r="D101" t="str">
        <f ca="1"/>
        <v>L</v>
      </c>
      <c r="E101">
        <f ca="1"/>
        <v>2025</v>
      </c>
      <c r="F101" t="str">
        <f ca="1"/>
        <v>Ilmu Sosial</v>
      </c>
      <c r="G101" t="str">
        <f ca="1"/>
        <v>Administrasi Publik</v>
      </c>
      <c r="H101">
        <f ca="1"/>
        <v>2</v>
      </c>
      <c r="I101" s="3">
        <f ca="1"/>
        <v>2.9583333333333335</v>
      </c>
      <c r="J101" t="str">
        <f ca="1"/>
        <v>C</v>
      </c>
    </row>
    <row r="102" spans="1:10" x14ac:dyDescent="0.3">
      <c r="A102">
        <v>100</v>
      </c>
      <c r="B102" t="str">
        <f ca="1"/>
        <v>25M-A51-0004</v>
      </c>
      <c r="C102" t="str">
        <f ca="1"/>
        <v>Ratna Iskandar</v>
      </c>
      <c r="D102" t="str">
        <f ca="1"/>
        <v>P</v>
      </c>
      <c r="E102">
        <f ca="1"/>
        <v>2025</v>
      </c>
      <c r="F102" t="str">
        <f ca="1"/>
        <v>Ilmu Sosial</v>
      </c>
      <c r="G102" t="str">
        <f ca="1"/>
        <v>Administrasi Publik</v>
      </c>
      <c r="H102">
        <f ca="1"/>
        <v>2</v>
      </c>
      <c r="I102" s="3">
        <f ca="1"/>
        <v>3.5</v>
      </c>
      <c r="J102" t="str">
        <f ca="1"/>
        <v>C+</v>
      </c>
    </row>
    <row r="103" spans="1:10" x14ac:dyDescent="0.3">
      <c r="A103">
        <v>101</v>
      </c>
      <c r="B103" t="str">
        <f ca="1"/>
        <v>25M-A51-0007</v>
      </c>
      <c r="C103" t="str">
        <f ca="1"/>
        <v>Krisna Wijaya</v>
      </c>
      <c r="D103" t="str">
        <f ca="1"/>
        <v>L</v>
      </c>
      <c r="E103">
        <f ca="1"/>
        <v>2025</v>
      </c>
      <c r="F103" t="str">
        <f ca="1"/>
        <v>Ilmu Sosial</v>
      </c>
      <c r="G103" t="str">
        <f ca="1"/>
        <v>Administrasi Publik</v>
      </c>
      <c r="H103">
        <f ca="1"/>
        <v>2</v>
      </c>
      <c r="I103" s="3">
        <f ca="1"/>
        <v>3.5625</v>
      </c>
      <c r="J103" t="str">
        <f ca="1"/>
        <v>B</v>
      </c>
    </row>
    <row r="104" spans="1:10" x14ac:dyDescent="0.3">
      <c r="A104">
        <v>102</v>
      </c>
      <c r="B104" t="str">
        <f ca="1"/>
        <v>25M-A51-0008</v>
      </c>
      <c r="C104" t="str">
        <f ca="1"/>
        <v>Fajar Firmansyah</v>
      </c>
      <c r="D104" t="str">
        <f ca="1"/>
        <v>L</v>
      </c>
      <c r="E104">
        <f ca="1"/>
        <v>2025</v>
      </c>
      <c r="F104" t="str">
        <f ca="1"/>
        <v>Ilmu Sosial</v>
      </c>
      <c r="G104" t="str">
        <f ca="1"/>
        <v>Administrasi Publik</v>
      </c>
      <c r="H104">
        <f ca="1"/>
        <v>2</v>
      </c>
      <c r="I104" s="3">
        <f ca="1"/>
        <v>2.9166666666666665</v>
      </c>
      <c r="J104" t="str">
        <f ca="1"/>
        <v>C</v>
      </c>
    </row>
    <row r="105" spans="1:10" x14ac:dyDescent="0.3">
      <c r="A105">
        <v>103</v>
      </c>
      <c r="B105" t="str">
        <f ca="1"/>
        <v>25M-A51-0011</v>
      </c>
      <c r="C105" t="str">
        <f ca="1"/>
        <v>Rian Irawan</v>
      </c>
      <c r="D105" t="str">
        <f ca="1"/>
        <v>L</v>
      </c>
      <c r="E105">
        <f ca="1"/>
        <v>2025</v>
      </c>
      <c r="F105" t="str">
        <f ca="1"/>
        <v>Ilmu Sosial</v>
      </c>
      <c r="G105" t="str">
        <f ca="1"/>
        <v>Administrasi Publik</v>
      </c>
      <c r="H105">
        <f ca="1"/>
        <v>2</v>
      </c>
      <c r="I105" s="3">
        <f ca="1"/>
        <v>3</v>
      </c>
      <c r="J105" t="str">
        <f ca="1"/>
        <v>C</v>
      </c>
    </row>
    <row r="106" spans="1:10" x14ac:dyDescent="0.3">
      <c r="A106">
        <v>104</v>
      </c>
      <c r="B106" t="str">
        <f ca="1"/>
        <v>25M-A51-0012</v>
      </c>
      <c r="C106" t="str">
        <f ca="1"/>
        <v>Vera Wahyudi</v>
      </c>
      <c r="D106" t="str">
        <f ca="1"/>
        <v>P</v>
      </c>
      <c r="E106">
        <f ca="1"/>
        <v>2025</v>
      </c>
      <c r="F106" t="str">
        <f ca="1"/>
        <v>Ilmu Sosial</v>
      </c>
      <c r="G106" t="str">
        <f ca="1"/>
        <v>Administrasi Publik</v>
      </c>
      <c r="H106">
        <f ca="1"/>
        <v>2</v>
      </c>
      <c r="I106" s="3">
        <f ca="1"/>
        <v>3.1458333333333335</v>
      </c>
      <c r="J106" t="str">
        <f ca="1"/>
        <v>C+</v>
      </c>
    </row>
    <row r="107" spans="1:10" x14ac:dyDescent="0.3">
      <c r="A107">
        <v>105</v>
      </c>
      <c r="B107" t="str">
        <f ca="1"/>
        <v>25M-A51-0014</v>
      </c>
      <c r="C107" t="str">
        <f ca="1"/>
        <v>Anisa Rahman</v>
      </c>
      <c r="D107" t="str">
        <f ca="1"/>
        <v>P</v>
      </c>
      <c r="E107">
        <f ca="1"/>
        <v>2025</v>
      </c>
      <c r="F107" t="str">
        <f ca="1"/>
        <v>Ilmu Sosial</v>
      </c>
      <c r="G107" t="str">
        <f ca="1"/>
        <v>Administrasi Publik</v>
      </c>
      <c r="H107">
        <f ca="1"/>
        <v>2</v>
      </c>
      <c r="I107" s="3">
        <f ca="1"/>
        <v>3.25</v>
      </c>
      <c r="J107" t="str">
        <f ca="1"/>
        <v>C+</v>
      </c>
    </row>
    <row r="108" spans="1:10" x14ac:dyDescent="0.3">
      <c r="A108">
        <v>106</v>
      </c>
      <c r="B108" t="str">
        <f ca="1"/>
        <v>25M-A51-0015</v>
      </c>
      <c r="C108" t="str">
        <f ca="1"/>
        <v>Oscar Suryadi</v>
      </c>
      <c r="D108" t="str">
        <f ca="1"/>
        <v>L</v>
      </c>
      <c r="E108">
        <f ca="1"/>
        <v>2025</v>
      </c>
      <c r="F108" t="str">
        <f ca="1"/>
        <v>Ilmu Sosial</v>
      </c>
      <c r="G108" t="str">
        <f ca="1"/>
        <v>Administrasi Publik</v>
      </c>
      <c r="H108">
        <f ca="1"/>
        <v>2</v>
      </c>
      <c r="I108" s="3">
        <f ca="1"/>
        <v>3</v>
      </c>
      <c r="J108" t="str">
        <f ca="1"/>
        <v>C</v>
      </c>
    </row>
    <row r="109" spans="1:10" x14ac:dyDescent="0.3">
      <c r="A109">
        <v>107</v>
      </c>
      <c r="B109" t="str">
        <f ca="1"/>
        <v>25M-A51-0016</v>
      </c>
      <c r="C109" t="str">
        <f ca="1"/>
        <v>Putri Wardani</v>
      </c>
      <c r="D109" t="str">
        <f ca="1"/>
        <v>P</v>
      </c>
      <c r="E109">
        <f ca="1"/>
        <v>2025</v>
      </c>
      <c r="F109" t="str">
        <f ca="1"/>
        <v>Ilmu Sosial</v>
      </c>
      <c r="G109" t="str">
        <f ca="1"/>
        <v>Administrasi Publik</v>
      </c>
      <c r="H109">
        <f ca="1"/>
        <v>2</v>
      </c>
      <c r="I109" s="3">
        <f ca="1"/>
        <v>2.7604166666666665</v>
      </c>
      <c r="J109" t="str">
        <f ca="1"/>
        <v>C</v>
      </c>
    </row>
    <row r="110" spans="1:10" x14ac:dyDescent="0.3">
      <c r="A110">
        <v>108</v>
      </c>
      <c r="B110" t="str">
        <f ca="1"/>
        <v>25M-A51-0017</v>
      </c>
      <c r="C110" t="str">
        <f ca="1"/>
        <v>Mega Oktavianus</v>
      </c>
      <c r="D110" t="str">
        <f ca="1"/>
        <v>P</v>
      </c>
      <c r="E110">
        <f ca="1"/>
        <v>2025</v>
      </c>
      <c r="F110" t="str">
        <f ca="1"/>
        <v>Ilmu Sosial</v>
      </c>
      <c r="G110" t="str">
        <f ca="1"/>
        <v>Administrasi Publik</v>
      </c>
      <c r="H110">
        <f ca="1"/>
        <v>2</v>
      </c>
      <c r="I110" s="3">
        <f ca="1"/>
        <v>3.3645833333333335</v>
      </c>
      <c r="J110" t="str">
        <f ca="1"/>
        <v>C+</v>
      </c>
    </row>
    <row r="111" spans="1:10" x14ac:dyDescent="0.3">
      <c r="A111">
        <v>109</v>
      </c>
      <c r="B111" t="str">
        <f ca="1"/>
        <v>25M-A51-0018</v>
      </c>
      <c r="C111" t="str">
        <f ca="1"/>
        <v>Bella Prasetyo</v>
      </c>
      <c r="D111" t="str">
        <f ca="1"/>
        <v>P</v>
      </c>
      <c r="E111">
        <f ca="1"/>
        <v>2025</v>
      </c>
      <c r="F111" t="str">
        <f ca="1"/>
        <v>Ilmu Sosial</v>
      </c>
      <c r="G111" t="str">
        <f ca="1"/>
        <v>Administrasi Publik</v>
      </c>
      <c r="H111">
        <f ca="1"/>
        <v>2</v>
      </c>
      <c r="I111" s="3">
        <f ca="1"/>
        <v>2.8333333333333335</v>
      </c>
      <c r="J111" t="str">
        <f ca="1"/>
        <v>C</v>
      </c>
    </row>
    <row r="112" spans="1:10" x14ac:dyDescent="0.3">
      <c r="A112">
        <v>110</v>
      </c>
      <c r="B112" t="str">
        <f ca="1"/>
        <v>25M-A51-0020</v>
      </c>
      <c r="C112" t="str">
        <f ca="1"/>
        <v>Hadi Irawan</v>
      </c>
      <c r="D112" t="str">
        <f ca="1"/>
        <v>L</v>
      </c>
      <c r="E112">
        <f ca="1"/>
        <v>2025</v>
      </c>
      <c r="F112" t="str">
        <f ca="1"/>
        <v>Ilmu Sosial</v>
      </c>
      <c r="G112" t="str">
        <f ca="1"/>
        <v>Administrasi Publik</v>
      </c>
      <c r="H112">
        <f ca="1"/>
        <v>2</v>
      </c>
      <c r="I112" s="3">
        <f ca="1"/>
        <v>3.4583333333333335</v>
      </c>
      <c r="J112" t="str">
        <f ca="1"/>
        <v>C</v>
      </c>
    </row>
    <row r="113" spans="1:10" x14ac:dyDescent="0.3">
      <c r="A113">
        <v>111</v>
      </c>
      <c r="B113" t="str">
        <f ca="1"/>
        <v>25M-A51-0023</v>
      </c>
      <c r="C113" t="str">
        <f ca="1"/>
        <v>Sari Yusnita</v>
      </c>
      <c r="D113" t="str">
        <f ca="1"/>
        <v>P</v>
      </c>
      <c r="E113">
        <f ca="1"/>
        <v>2025</v>
      </c>
      <c r="F113" t="str">
        <f ca="1"/>
        <v>Ilmu Sosial</v>
      </c>
      <c r="G113" t="str">
        <f ca="1"/>
        <v>Administrasi Publik</v>
      </c>
      <c r="H113">
        <f ca="1"/>
        <v>2</v>
      </c>
      <c r="I113" s="3">
        <f ca="1"/>
        <v>3.4895833333333335</v>
      </c>
      <c r="J113" t="str">
        <f ca="1"/>
        <v>C+</v>
      </c>
    </row>
    <row r="114" spans="1:10" x14ac:dyDescent="0.3">
      <c r="A114">
        <v>112</v>
      </c>
      <c r="B114" t="str">
        <f ca="1"/>
        <v>25M-A52-0002</v>
      </c>
      <c r="C114" t="str">
        <f ca="1"/>
        <v>Zaki Gunawan</v>
      </c>
      <c r="D114" t="str">
        <f ca="1"/>
        <v>L</v>
      </c>
      <c r="E114">
        <f ca="1"/>
        <v>2025</v>
      </c>
      <c r="F114" t="str">
        <f ca="1"/>
        <v>Ilmu Sosial</v>
      </c>
      <c r="G114" t="str">
        <f ca="1"/>
        <v xml:space="preserve"> Ilmu Komunikasi</v>
      </c>
      <c r="H114">
        <f ca="1"/>
        <v>2</v>
      </c>
      <c r="I114" s="3">
        <f ca="1"/>
        <v>3.125</v>
      </c>
      <c r="J114" t="str">
        <f ca="1"/>
        <v>C</v>
      </c>
    </row>
    <row r="115" spans="1:10" x14ac:dyDescent="0.3">
      <c r="A115">
        <v>113</v>
      </c>
      <c r="B115" t="str">
        <f ca="1"/>
        <v>25M-A52-0003</v>
      </c>
      <c r="C115" t="str">
        <f ca="1"/>
        <v>Diah Lesmana</v>
      </c>
      <c r="D115" t="str">
        <f ca="1"/>
        <v>P</v>
      </c>
      <c r="E115">
        <f ca="1"/>
        <v>2025</v>
      </c>
      <c r="F115" t="str">
        <f ca="1"/>
        <v>Ilmu Sosial</v>
      </c>
      <c r="G115" t="str">
        <f ca="1"/>
        <v xml:space="preserve"> Ilmu Komunikasi</v>
      </c>
      <c r="H115">
        <f ca="1"/>
        <v>2</v>
      </c>
      <c r="I115" s="3">
        <f ca="1"/>
        <v>3.1666666666666665</v>
      </c>
      <c r="J115" t="str">
        <f ca="1"/>
        <v>C+</v>
      </c>
    </row>
    <row r="116" spans="1:10" x14ac:dyDescent="0.3">
      <c r="A116">
        <v>114</v>
      </c>
      <c r="B116" t="str">
        <f ca="1"/>
        <v>25M-A52-0006</v>
      </c>
      <c r="C116" t="str">
        <f ca="1"/>
        <v>Putra Setiawan</v>
      </c>
      <c r="D116" t="str">
        <f ca="1"/>
        <v>L</v>
      </c>
      <c r="E116">
        <f ca="1"/>
        <v>2025</v>
      </c>
      <c r="F116" t="str">
        <f ca="1"/>
        <v>Ilmu Sosial</v>
      </c>
      <c r="G116" t="str">
        <f ca="1"/>
        <v xml:space="preserve"> Ilmu Komunikasi</v>
      </c>
      <c r="H116">
        <f ca="1"/>
        <v>2</v>
      </c>
      <c r="I116" s="3">
        <f ca="1"/>
        <v>2.90625</v>
      </c>
      <c r="J116" t="str">
        <f ca="1"/>
        <v>C</v>
      </c>
    </row>
    <row r="117" spans="1:10" x14ac:dyDescent="0.3">
      <c r="A117">
        <v>115</v>
      </c>
      <c r="B117" t="str">
        <f ca="1"/>
        <v>25M-A52-0007</v>
      </c>
      <c r="C117" t="str">
        <f ca="1"/>
        <v>Ratna Hidayat</v>
      </c>
      <c r="D117" t="str">
        <f ca="1"/>
        <v>P</v>
      </c>
      <c r="E117">
        <f ca="1"/>
        <v>2025</v>
      </c>
      <c r="F117" t="str">
        <f ca="1"/>
        <v>Ilmu Sosial</v>
      </c>
      <c r="G117" t="str">
        <f ca="1"/>
        <v xml:space="preserve"> Ilmu Komunikasi</v>
      </c>
      <c r="H117">
        <f ca="1"/>
        <v>2</v>
      </c>
      <c r="I117" s="3">
        <f ca="1"/>
        <v>3.25</v>
      </c>
      <c r="J117" t="str">
        <f ca="1"/>
        <v>C</v>
      </c>
    </row>
    <row r="118" spans="1:10" x14ac:dyDescent="0.3">
      <c r="A118">
        <v>116</v>
      </c>
      <c r="B118" t="str">
        <f ca="1"/>
        <v>25M-A52-0010</v>
      </c>
      <c r="C118" t="str">
        <f ca="1"/>
        <v>Mega Gunawan</v>
      </c>
      <c r="D118" t="str">
        <f ca="1"/>
        <v>P</v>
      </c>
      <c r="E118">
        <f ca="1"/>
        <v>2025</v>
      </c>
      <c r="F118" t="str">
        <f ca="1"/>
        <v>Ilmu Sosial</v>
      </c>
      <c r="G118" t="str">
        <f ca="1"/>
        <v xml:space="preserve"> Ilmu Komunikasi</v>
      </c>
      <c r="H118">
        <f ca="1"/>
        <v>2</v>
      </c>
      <c r="I118" s="3">
        <f ca="1"/>
        <v>3.0104166666666665</v>
      </c>
      <c r="J118" t="str">
        <f ca="1"/>
        <v>C+</v>
      </c>
    </row>
    <row r="119" spans="1:10" x14ac:dyDescent="0.3">
      <c r="A119">
        <v>117</v>
      </c>
      <c r="B119" t="str">
        <f ca="1"/>
        <v>25M-A52-0011</v>
      </c>
      <c r="C119" t="str">
        <f ca="1"/>
        <v>Ayu Wijaya</v>
      </c>
      <c r="D119" t="str">
        <f ca="1"/>
        <v>P</v>
      </c>
      <c r="E119">
        <f ca="1"/>
        <v>2025</v>
      </c>
      <c r="F119" t="str">
        <f ca="1"/>
        <v>Ilmu Sosial</v>
      </c>
      <c r="G119" t="str">
        <f ca="1"/>
        <v xml:space="preserve"> Ilmu Komunikasi</v>
      </c>
      <c r="H119">
        <f ca="1"/>
        <v>2</v>
      </c>
      <c r="I119" s="3">
        <f ca="1"/>
        <v>2.9270833333333335</v>
      </c>
      <c r="J119" t="str">
        <f ca="1"/>
        <v>C</v>
      </c>
    </row>
    <row r="120" spans="1:10" x14ac:dyDescent="0.3">
      <c r="A120">
        <v>118</v>
      </c>
      <c r="B120" t="str">
        <f ca="1"/>
        <v>25M-A52-0012</v>
      </c>
      <c r="C120" t="str">
        <f ca="1"/>
        <v>Jefri Gunawan</v>
      </c>
      <c r="D120" t="str">
        <f ca="1"/>
        <v>L</v>
      </c>
      <c r="E120">
        <f ca="1"/>
        <v>2025</v>
      </c>
      <c r="F120" t="str">
        <f ca="1"/>
        <v>Ilmu Sosial</v>
      </c>
      <c r="G120" t="str">
        <f ca="1"/>
        <v xml:space="preserve"> Ilmu Komunikasi</v>
      </c>
      <c r="H120">
        <f ca="1"/>
        <v>2</v>
      </c>
      <c r="I120" s="3">
        <f ca="1"/>
        <v>3.2604166666666665</v>
      </c>
      <c r="J120" t="str">
        <f ca="1"/>
        <v>B-</v>
      </c>
    </row>
    <row r="121" spans="1:10" x14ac:dyDescent="0.3">
      <c r="A121">
        <v>119</v>
      </c>
      <c r="B121" t="str">
        <f ca="1"/>
        <v>25M-A53-0010</v>
      </c>
      <c r="C121" t="str">
        <f ca="1"/>
        <v>Rizky Ramadhan</v>
      </c>
      <c r="D121" t="str">
        <f ca="1"/>
        <v>L</v>
      </c>
      <c r="E121">
        <f ca="1"/>
        <v>2025</v>
      </c>
      <c r="F121" t="str">
        <f ca="1"/>
        <v>Ilmu Sosial</v>
      </c>
      <c r="G121" t="str">
        <f ca="1"/>
        <v>Sosiologi</v>
      </c>
      <c r="H121">
        <f ca="1"/>
        <v>2</v>
      </c>
      <c r="I121" s="3">
        <f ca="1"/>
        <v>3.7604166666666665</v>
      </c>
      <c r="J121" t="str">
        <f ca="1"/>
        <v>B</v>
      </c>
    </row>
    <row r="122" spans="1:10" x14ac:dyDescent="0.3">
      <c r="A122">
        <v>120</v>
      </c>
      <c r="B122" t="str">
        <f ca="1"/>
        <v>25M-A53-0012</v>
      </c>
      <c r="C122" t="str">
        <f ca="1"/>
        <v>Andi Firmansyah</v>
      </c>
      <c r="D122" t="str">
        <f ca="1"/>
        <v>L</v>
      </c>
      <c r="E122">
        <f ca="1"/>
        <v>2025</v>
      </c>
      <c r="F122" t="str">
        <f ca="1"/>
        <v>Ilmu Sosial</v>
      </c>
      <c r="G122" t="str">
        <f ca="1"/>
        <v>Sosiologi</v>
      </c>
      <c r="H122">
        <f ca="1"/>
        <v>2</v>
      </c>
      <c r="I122" s="3">
        <f ca="1"/>
        <v>2.75</v>
      </c>
      <c r="J122" t="str">
        <f ca="1"/>
        <v>C</v>
      </c>
    </row>
    <row r="123" spans="1:10" x14ac:dyDescent="0.3">
      <c r="A123">
        <v>121</v>
      </c>
      <c r="B123" t="str">
        <f ca="1"/>
        <v>25M-A53-0013</v>
      </c>
      <c r="C123" t="str">
        <f ca="1"/>
        <v>Dinda Siregar</v>
      </c>
      <c r="D123" t="str">
        <f ca="1"/>
        <v>P</v>
      </c>
      <c r="E123">
        <f ca="1"/>
        <v>2025</v>
      </c>
      <c r="F123" t="str">
        <f ca="1"/>
        <v>Ilmu Sosial</v>
      </c>
      <c r="G123" t="str">
        <f ca="1"/>
        <v>Sosiologi</v>
      </c>
      <c r="H123">
        <f ca="1"/>
        <v>2</v>
      </c>
      <c r="I123" s="3">
        <f ca="1"/>
        <v>3.3854166666666665</v>
      </c>
      <c r="J123" t="str">
        <f ca="1"/>
        <v>C+</v>
      </c>
    </row>
    <row r="124" spans="1:10" x14ac:dyDescent="0.3">
      <c r="A124">
        <v>122</v>
      </c>
      <c r="B124" t="str">
        <f ca="1"/>
        <v>25M-A53-0014</v>
      </c>
      <c r="C124" t="str">
        <f ca="1"/>
        <v>Candra Siregar</v>
      </c>
      <c r="D124" t="str">
        <f ca="1"/>
        <v>L</v>
      </c>
      <c r="E124">
        <f ca="1"/>
        <v>2025</v>
      </c>
      <c r="F124" t="str">
        <f ca="1"/>
        <v>Ilmu Sosial</v>
      </c>
      <c r="G124" t="str">
        <f ca="1"/>
        <v>Sosiologi</v>
      </c>
      <c r="H124">
        <f ca="1"/>
        <v>2</v>
      </c>
      <c r="I124" s="3">
        <f ca="1"/>
        <v>3.2395833333333335</v>
      </c>
      <c r="J124" t="str">
        <f ca="1"/>
        <v>C</v>
      </c>
    </row>
    <row r="125" spans="1:10" x14ac:dyDescent="0.3">
      <c r="A125">
        <v>123</v>
      </c>
      <c r="B125" t="str">
        <f ca="1"/>
        <v>25M-A53-0016</v>
      </c>
      <c r="C125" t="str">
        <f ca="1"/>
        <v>Miftah Wahyudi</v>
      </c>
      <c r="D125" t="str">
        <f ca="1"/>
        <v>L</v>
      </c>
      <c r="E125">
        <f ca="1"/>
        <v>2025</v>
      </c>
      <c r="F125" t="str">
        <f ca="1"/>
        <v>Ilmu Sosial</v>
      </c>
      <c r="G125" t="str">
        <f ca="1"/>
        <v>Sosiologi</v>
      </c>
      <c r="H125">
        <f ca="1"/>
        <v>2</v>
      </c>
      <c r="I125" s="3">
        <f ca="1"/>
        <v>3.3541666666666665</v>
      </c>
      <c r="J125" t="str">
        <f ca="1"/>
        <v>C</v>
      </c>
    </row>
    <row r="126" spans="1:10" x14ac:dyDescent="0.3">
      <c r="A126">
        <v>124</v>
      </c>
      <c r="B126" t="str">
        <f ca="1"/>
        <v>25M-A53-0019</v>
      </c>
      <c r="C126" t="str">
        <f ca="1"/>
        <v>Putra Tanjung</v>
      </c>
      <c r="D126" t="str">
        <f ca="1"/>
        <v>L</v>
      </c>
      <c r="E126">
        <f ca="1"/>
        <v>2025</v>
      </c>
      <c r="F126" t="str">
        <f ca="1"/>
        <v>Ilmu Sosial</v>
      </c>
      <c r="G126" t="str">
        <f ca="1"/>
        <v>Sosiologi</v>
      </c>
      <c r="H126">
        <f ca="1"/>
        <v>2</v>
      </c>
      <c r="I126" s="3">
        <f ca="1"/>
        <v>3.1875</v>
      </c>
      <c r="J126" t="str">
        <f ca="1"/>
        <v>C</v>
      </c>
    </row>
    <row r="127" spans="1:10" x14ac:dyDescent="0.3">
      <c r="A127">
        <v>125</v>
      </c>
      <c r="B127" t="str">
        <f ca="1"/>
        <v>25M-A53-0020</v>
      </c>
      <c r="C127" t="str">
        <f ca="1"/>
        <v>Muhammad Firmansyah</v>
      </c>
      <c r="D127" t="str">
        <f ca="1"/>
        <v>L</v>
      </c>
      <c r="E127">
        <f ca="1"/>
        <v>2025</v>
      </c>
      <c r="F127" t="str">
        <f ca="1"/>
        <v>Ilmu Sosial</v>
      </c>
      <c r="G127" t="str">
        <f ca="1"/>
        <v>Sosiologi</v>
      </c>
      <c r="H127">
        <f ca="1"/>
        <v>2</v>
      </c>
      <c r="I127" s="3">
        <f ca="1"/>
        <v>3.28125</v>
      </c>
      <c r="J127" t="str">
        <f ca="1"/>
        <v>C+</v>
      </c>
    </row>
    <row r="128" spans="1:10" x14ac:dyDescent="0.3">
      <c r="A128">
        <v>126</v>
      </c>
      <c r="B128" t="str">
        <f ca="1"/>
        <v>25M-A53-0021</v>
      </c>
      <c r="C128" t="str">
        <f ca="1"/>
        <v>Cinta Kusnadi</v>
      </c>
      <c r="D128" t="str">
        <f ca="1"/>
        <v>P</v>
      </c>
      <c r="E128">
        <f ca="1"/>
        <v>2025</v>
      </c>
      <c r="F128" t="str">
        <f ca="1"/>
        <v>Ilmu Sosial</v>
      </c>
      <c r="G128" t="str">
        <f ca="1"/>
        <v>Sosiologi</v>
      </c>
      <c r="H128">
        <f ca="1"/>
        <v>2</v>
      </c>
      <c r="I128" s="3">
        <f ca="1"/>
        <v>3.4375</v>
      </c>
      <c r="J128" t="str">
        <f ca="1"/>
        <v>C+</v>
      </c>
    </row>
    <row r="129" spans="1:10" x14ac:dyDescent="0.3">
      <c r="A129">
        <v>127</v>
      </c>
      <c r="B129" t="str">
        <f ca="1"/>
        <v>25M-A53-0022</v>
      </c>
      <c r="C129" t="str">
        <f ca="1"/>
        <v>Yana Yusnita</v>
      </c>
      <c r="D129" t="str">
        <f ca="1"/>
        <v>P</v>
      </c>
      <c r="E129">
        <f ca="1"/>
        <v>2025</v>
      </c>
      <c r="F129" t="str">
        <f ca="1"/>
        <v>Ilmu Sosial</v>
      </c>
      <c r="G129" t="str">
        <f ca="1"/>
        <v>Sosiologi</v>
      </c>
      <c r="H129">
        <f ca="1"/>
        <v>2</v>
      </c>
      <c r="I129" s="3">
        <f ca="1"/>
        <v>2.9166666666666665</v>
      </c>
      <c r="J129" t="str">
        <f ca="1"/>
        <v>C</v>
      </c>
    </row>
    <row r="130" spans="1:10" x14ac:dyDescent="0.3">
      <c r="A130">
        <v>128</v>
      </c>
      <c r="B130" t="str">
        <f ca="1"/>
        <v>25M-A53-0023</v>
      </c>
      <c r="C130" t="str">
        <f ca="1"/>
        <v>Miftah Lubis</v>
      </c>
      <c r="D130" t="str">
        <f ca="1"/>
        <v>L</v>
      </c>
      <c r="E130">
        <f ca="1"/>
        <v>2025</v>
      </c>
      <c r="F130" t="str">
        <f ca="1"/>
        <v>Ilmu Sosial</v>
      </c>
      <c r="G130" t="str">
        <f ca="1"/>
        <v>Sosiologi</v>
      </c>
      <c r="H130">
        <f ca="1"/>
        <v>2</v>
      </c>
      <c r="I130" s="3">
        <f ca="1"/>
        <v>3.0729166666666665</v>
      </c>
      <c r="J130" t="str">
        <f ca="1"/>
        <v>C</v>
      </c>
    </row>
    <row r="131" spans="1:10" x14ac:dyDescent="0.3">
      <c r="A131">
        <v>129</v>
      </c>
      <c r="B131" t="str">
        <f ca="1"/>
        <v>25M-A53-0024</v>
      </c>
      <c r="C131" t="str">
        <f ca="1"/>
        <v>Yoga Lesmana</v>
      </c>
      <c r="D131" t="str">
        <f ca="1"/>
        <v>L</v>
      </c>
      <c r="E131">
        <f ca="1"/>
        <v>2025</v>
      </c>
      <c r="F131" t="str">
        <f ca="1"/>
        <v>Ilmu Sosial</v>
      </c>
      <c r="G131" t="str">
        <f ca="1"/>
        <v>Sosiologi</v>
      </c>
      <c r="H131">
        <f ca="1"/>
        <v>2</v>
      </c>
      <c r="I131" s="3">
        <f ca="1"/>
        <v>3.3958333333333335</v>
      </c>
      <c r="J131" t="str">
        <f ca="1"/>
        <v>B</v>
      </c>
    </row>
    <row r="132" spans="1:10" x14ac:dyDescent="0.3">
      <c r="A132">
        <v>130</v>
      </c>
      <c r="B132" t="str">
        <f ca="1"/>
        <v>25M-A53-0025</v>
      </c>
      <c r="C132" t="str">
        <f ca="1"/>
        <v>Yuni Permana</v>
      </c>
      <c r="D132" t="str">
        <f ca="1"/>
        <v>P</v>
      </c>
      <c r="E132">
        <f ca="1"/>
        <v>2025</v>
      </c>
      <c r="F132" t="str">
        <f ca="1"/>
        <v>Ilmu Sosial</v>
      </c>
      <c r="G132" t="str">
        <f ca="1"/>
        <v>Sosiologi</v>
      </c>
      <c r="H132">
        <f ca="1"/>
        <v>2</v>
      </c>
      <c r="I132" s="3">
        <f ca="1"/>
        <v>2.9583333333333335</v>
      </c>
      <c r="J132" t="str">
        <f ca="1"/>
        <v>C</v>
      </c>
    </row>
    <row r="133" spans="1:10" x14ac:dyDescent="0.3">
      <c r="A133">
        <v>131</v>
      </c>
      <c r="B133" t="str">
        <f ca="1"/>
        <v>25M-A53-0028</v>
      </c>
      <c r="C133" t="str">
        <f ca="1"/>
        <v>Erwin Junaedi</v>
      </c>
      <c r="D133" t="str">
        <f ca="1"/>
        <v>L</v>
      </c>
      <c r="E133">
        <f ca="1"/>
        <v>2025</v>
      </c>
      <c r="F133" t="str">
        <f ca="1"/>
        <v>Ilmu Sosial</v>
      </c>
      <c r="G133" t="str">
        <f ca="1"/>
        <v>Sosiologi</v>
      </c>
      <c r="H133">
        <f ca="1"/>
        <v>2</v>
      </c>
      <c r="I133" s="3">
        <f ca="1"/>
        <v>3.3020833333333335</v>
      </c>
      <c r="J133" t="str">
        <f ca="1"/>
        <v>B-</v>
      </c>
    </row>
    <row r="134" spans="1:10" x14ac:dyDescent="0.3">
      <c r="A134">
        <v>132</v>
      </c>
      <c r="B134" t="str">
        <f ca="1"/>
        <v>25M-A53-0029</v>
      </c>
      <c r="C134" t="str">
        <f ca="1"/>
        <v>Gilang Tanjung</v>
      </c>
      <c r="D134" t="str">
        <f ca="1"/>
        <v>L</v>
      </c>
      <c r="E134">
        <f ca="1"/>
        <v>2025</v>
      </c>
      <c r="F134" t="str">
        <f ca="1"/>
        <v>Ilmu Sosial</v>
      </c>
      <c r="G134" t="str">
        <f ca="1"/>
        <v>Sosiologi</v>
      </c>
      <c r="H134">
        <f ca="1"/>
        <v>2</v>
      </c>
      <c r="I134" s="3">
        <f ca="1"/>
        <v>3.2604166666666665</v>
      </c>
      <c r="J134" t="str">
        <f ca="1"/>
        <v>C</v>
      </c>
    </row>
    <row r="135" spans="1:10" x14ac:dyDescent="0.3">
      <c r="A135">
        <v>133</v>
      </c>
      <c r="B135" t="str">
        <f ca="1"/>
        <v>25M-A53-0030</v>
      </c>
      <c r="C135" t="str">
        <f ca="1"/>
        <v>Wahyu Rahman</v>
      </c>
      <c r="D135" t="str">
        <f ca="1"/>
        <v>L</v>
      </c>
      <c r="E135">
        <f ca="1"/>
        <v>2025</v>
      </c>
      <c r="F135" t="str">
        <f ca="1"/>
        <v>Ilmu Sosial</v>
      </c>
      <c r="G135" t="str">
        <f ca="1"/>
        <v>Sosiologi</v>
      </c>
      <c r="H135">
        <f ca="1"/>
        <v>2</v>
      </c>
      <c r="I135" s="3">
        <f ca="1"/>
        <v>3.3020833333333335</v>
      </c>
      <c r="J135" t="str">
        <f ca="1"/>
        <v>C</v>
      </c>
    </row>
    <row r="136" spans="1:10" x14ac:dyDescent="0.3">
      <c r="A136">
        <v>134</v>
      </c>
      <c r="B136" t="str">
        <f ca="1"/>
        <v>25R-A11-0002</v>
      </c>
      <c r="C136" t="str">
        <f ca="1"/>
        <v>Indah Lesmana</v>
      </c>
      <c r="D136" t="str">
        <f ca="1"/>
        <v>P</v>
      </c>
      <c r="E136">
        <f ca="1"/>
        <v>2025</v>
      </c>
      <c r="F136" t="str">
        <f ca="1"/>
        <v>Sains</v>
      </c>
      <c r="G136" t="str">
        <f ca="1"/>
        <v>Matematika</v>
      </c>
      <c r="H136">
        <f ca="1"/>
        <v>2</v>
      </c>
      <c r="I136" s="3">
        <f ca="1"/>
        <v>3.5</v>
      </c>
      <c r="J136" t="str">
        <f ca="1"/>
        <v>B-</v>
      </c>
    </row>
    <row r="137" spans="1:10" x14ac:dyDescent="0.3">
      <c r="A137">
        <v>135</v>
      </c>
      <c r="B137" t="str">
        <f ca="1"/>
        <v>25R-A11-0004</v>
      </c>
      <c r="C137" t="str">
        <f ca="1"/>
        <v>Pandu Santoso</v>
      </c>
      <c r="D137" t="str">
        <f ca="1"/>
        <v>L</v>
      </c>
      <c r="E137">
        <f ca="1"/>
        <v>2025</v>
      </c>
      <c r="F137" t="str">
        <f ca="1"/>
        <v>Sains</v>
      </c>
      <c r="G137" t="str">
        <f ca="1"/>
        <v>Matematika</v>
      </c>
      <c r="H137">
        <f ca="1"/>
        <v>2</v>
      </c>
      <c r="I137" s="3">
        <f ca="1"/>
        <v>3.1979166666666665</v>
      </c>
      <c r="J137" t="str">
        <f ca="1"/>
        <v>C</v>
      </c>
    </row>
    <row r="138" spans="1:10" x14ac:dyDescent="0.3">
      <c r="A138">
        <v>136</v>
      </c>
      <c r="B138" t="str">
        <f ca="1"/>
        <v>25R-A11-0007</v>
      </c>
      <c r="C138" t="str">
        <f ca="1"/>
        <v>Farah Wahyudi</v>
      </c>
      <c r="D138" t="str">
        <f ca="1"/>
        <v>P</v>
      </c>
      <c r="E138">
        <f ca="1"/>
        <v>2025</v>
      </c>
      <c r="F138" t="str">
        <f ca="1"/>
        <v>Sains</v>
      </c>
      <c r="G138" t="str">
        <f ca="1"/>
        <v>Matematika</v>
      </c>
      <c r="H138">
        <f ca="1"/>
        <v>2</v>
      </c>
      <c r="I138" s="3">
        <f ca="1"/>
        <v>3.3854166666666665</v>
      </c>
      <c r="J138" t="str">
        <f ca="1"/>
        <v>C+</v>
      </c>
    </row>
    <row r="139" spans="1:10" x14ac:dyDescent="0.3">
      <c r="A139">
        <v>137</v>
      </c>
      <c r="B139" t="str">
        <f ca="1"/>
        <v>25R-A11-0008</v>
      </c>
      <c r="C139" t="str">
        <f ca="1"/>
        <v>Dimas Utama</v>
      </c>
      <c r="D139" t="str">
        <f ca="1"/>
        <v>L</v>
      </c>
      <c r="E139">
        <f ca="1"/>
        <v>2025</v>
      </c>
      <c r="F139" t="str">
        <f ca="1"/>
        <v>Sains</v>
      </c>
      <c r="G139" t="str">
        <f ca="1"/>
        <v>Matematika</v>
      </c>
      <c r="H139">
        <f ca="1"/>
        <v>2</v>
      </c>
      <c r="I139" s="3">
        <f ca="1"/>
        <v>2.9895833333333335</v>
      </c>
      <c r="J139" t="str">
        <f ca="1"/>
        <v>B-</v>
      </c>
    </row>
    <row r="140" spans="1:10" x14ac:dyDescent="0.3">
      <c r="A140">
        <v>138</v>
      </c>
      <c r="B140" t="str">
        <f ca="1"/>
        <v>25R-A11-0009</v>
      </c>
      <c r="C140" t="str">
        <f ca="1"/>
        <v>Nurul Nugroho</v>
      </c>
      <c r="D140" t="str">
        <f ca="1"/>
        <v>P</v>
      </c>
      <c r="E140">
        <f ca="1"/>
        <v>2025</v>
      </c>
      <c r="F140" t="str">
        <f ca="1"/>
        <v>Sains</v>
      </c>
      <c r="G140" t="str">
        <f ca="1"/>
        <v>Matematika</v>
      </c>
      <c r="H140">
        <f ca="1"/>
        <v>2</v>
      </c>
      <c r="I140" s="3">
        <f ca="1"/>
        <v>3.5208333333333335</v>
      </c>
      <c r="J140" t="str">
        <f ca="1"/>
        <v>B</v>
      </c>
    </row>
    <row r="141" spans="1:10" x14ac:dyDescent="0.3">
      <c r="A141">
        <v>139</v>
      </c>
      <c r="B141" t="str">
        <f ca="1"/>
        <v>25R-A11-0011</v>
      </c>
      <c r="C141" t="str">
        <f ca="1"/>
        <v>Tuti Hidayat</v>
      </c>
      <c r="D141" t="str">
        <f ca="1"/>
        <v>P</v>
      </c>
      <c r="E141">
        <f ca="1"/>
        <v>2025</v>
      </c>
      <c r="F141" t="str">
        <f ca="1"/>
        <v>Sains</v>
      </c>
      <c r="G141" t="str">
        <f ca="1"/>
        <v>Matematika</v>
      </c>
      <c r="H141">
        <f ca="1"/>
        <v>2</v>
      </c>
      <c r="I141" s="3">
        <f ca="1"/>
        <v>3.4166666666666665</v>
      </c>
      <c r="J141" t="str">
        <f ca="1"/>
        <v>C</v>
      </c>
    </row>
    <row r="142" spans="1:10" x14ac:dyDescent="0.3">
      <c r="A142">
        <v>140</v>
      </c>
      <c r="B142" t="str">
        <f ca="1"/>
        <v>25R-A11-0013</v>
      </c>
      <c r="C142" t="str">
        <f ca="1"/>
        <v>Eka Hidayat</v>
      </c>
      <c r="D142" t="str">
        <f ca="1"/>
        <v>P</v>
      </c>
      <c r="E142">
        <f ca="1"/>
        <v>2025</v>
      </c>
      <c r="F142" t="str">
        <f ca="1"/>
        <v>Sains</v>
      </c>
      <c r="G142" t="str">
        <f ca="1"/>
        <v>Matematika</v>
      </c>
      <c r="H142">
        <f ca="1"/>
        <v>2</v>
      </c>
      <c r="I142" s="3">
        <f ca="1"/>
        <v>2.7708333333333335</v>
      </c>
      <c r="J142" t="str">
        <f ca="1"/>
        <v>C+</v>
      </c>
    </row>
    <row r="143" spans="1:10" x14ac:dyDescent="0.3">
      <c r="A143">
        <v>141</v>
      </c>
      <c r="B143" t="str">
        <f ca="1"/>
        <v>25R-A11-0014</v>
      </c>
      <c r="C143" t="str">
        <f ca="1"/>
        <v>Bella Firmansyah</v>
      </c>
      <c r="D143" t="str">
        <f ca="1"/>
        <v>P</v>
      </c>
      <c r="E143">
        <f ca="1"/>
        <v>2025</v>
      </c>
      <c r="F143" t="str">
        <f ca="1"/>
        <v>Sains</v>
      </c>
      <c r="G143" t="str">
        <f ca="1"/>
        <v>Matematika</v>
      </c>
      <c r="H143">
        <f ca="1"/>
        <v>2</v>
      </c>
      <c r="I143" s="3">
        <f ca="1"/>
        <v>2.8541666666666665</v>
      </c>
      <c r="J143" t="str">
        <f ca="1"/>
        <v>C</v>
      </c>
    </row>
    <row r="144" spans="1:10" x14ac:dyDescent="0.3">
      <c r="A144">
        <v>142</v>
      </c>
      <c r="B144" t="str">
        <f ca="1"/>
        <v>25R-A11-0016</v>
      </c>
      <c r="C144" t="str">
        <f ca="1"/>
        <v>Tono Hidayat</v>
      </c>
      <c r="D144" t="str">
        <f ca="1"/>
        <v>L</v>
      </c>
      <c r="E144">
        <f ca="1"/>
        <v>2025</v>
      </c>
      <c r="F144" t="str">
        <f ca="1"/>
        <v>Sains</v>
      </c>
      <c r="G144" t="str">
        <f ca="1"/>
        <v>Matematika</v>
      </c>
      <c r="H144">
        <f ca="1"/>
        <v>2</v>
      </c>
      <c r="I144" s="3">
        <f ca="1"/>
        <v>3.2604166666666665</v>
      </c>
      <c r="J144" t="str">
        <f ca="1"/>
        <v>B-</v>
      </c>
    </row>
    <row r="145" spans="1:10" x14ac:dyDescent="0.3">
      <c r="A145">
        <v>143</v>
      </c>
      <c r="B145" t="str">
        <f ca="1"/>
        <v>25R-A11-0017</v>
      </c>
      <c r="C145" t="str">
        <f ca="1"/>
        <v>Gema Kurnia</v>
      </c>
      <c r="D145" t="str">
        <f ca="1"/>
        <v>P</v>
      </c>
      <c r="E145">
        <f ca="1"/>
        <v>2025</v>
      </c>
      <c r="F145" t="str">
        <f ca="1"/>
        <v>Sains</v>
      </c>
      <c r="G145" t="str">
        <f ca="1"/>
        <v>Matematika</v>
      </c>
      <c r="H145">
        <f ca="1"/>
        <v>2</v>
      </c>
      <c r="I145" s="3">
        <f ca="1"/>
        <v>3.125</v>
      </c>
      <c r="J145" t="str">
        <f ca="1"/>
        <v>C+</v>
      </c>
    </row>
    <row r="146" spans="1:10" x14ac:dyDescent="0.3">
      <c r="A146">
        <v>144</v>
      </c>
      <c r="B146" t="str">
        <f ca="1"/>
        <v>25R-A12-0002</v>
      </c>
      <c r="C146" t="str">
        <f ca="1"/>
        <v>Elsa Prasetyo</v>
      </c>
      <c r="D146" t="str">
        <f ca="1"/>
        <v>P</v>
      </c>
      <c r="E146">
        <f ca="1"/>
        <v>2025</v>
      </c>
      <c r="F146" t="str">
        <f ca="1"/>
        <v>Sains</v>
      </c>
      <c r="G146" t="str">
        <f ca="1"/>
        <v>Statistika</v>
      </c>
      <c r="H146">
        <f ca="1"/>
        <v>2</v>
      </c>
      <c r="I146" s="3">
        <f ca="1"/>
        <v>2.9166666666666665</v>
      </c>
      <c r="J146" t="str">
        <f ca="1"/>
        <v>C</v>
      </c>
    </row>
    <row r="147" spans="1:10" x14ac:dyDescent="0.3">
      <c r="A147">
        <v>145</v>
      </c>
      <c r="B147" t="str">
        <f ca="1"/>
        <v>25R-A12-0009</v>
      </c>
      <c r="C147" t="str">
        <f ca="1"/>
        <v>Jefri Wahyudi</v>
      </c>
      <c r="D147" t="str">
        <f ca="1"/>
        <v>L</v>
      </c>
      <c r="E147">
        <f ca="1"/>
        <v>2025</v>
      </c>
      <c r="F147" t="str">
        <f ca="1"/>
        <v>Sains</v>
      </c>
      <c r="G147" t="str">
        <f ca="1"/>
        <v>Statistika</v>
      </c>
      <c r="H147">
        <f ca="1"/>
        <v>2</v>
      </c>
      <c r="I147" s="3">
        <f ca="1"/>
        <v>3.3333333333333335</v>
      </c>
      <c r="J147" t="str">
        <f ca="1"/>
        <v>C+</v>
      </c>
    </row>
    <row r="148" spans="1:10" x14ac:dyDescent="0.3">
      <c r="A148">
        <v>146</v>
      </c>
      <c r="B148" t="str">
        <f ca="1"/>
        <v>25R-A12-0010</v>
      </c>
      <c r="C148" t="str">
        <f ca="1"/>
        <v>Ilham Oktavianus</v>
      </c>
      <c r="D148" t="str">
        <f ca="1"/>
        <v>L</v>
      </c>
      <c r="E148">
        <f ca="1"/>
        <v>2025</v>
      </c>
      <c r="F148" t="str">
        <f ca="1"/>
        <v>Sains</v>
      </c>
      <c r="G148" t="str">
        <f ca="1"/>
        <v>Statistika</v>
      </c>
      <c r="H148">
        <f ca="1"/>
        <v>2</v>
      </c>
      <c r="I148" s="3">
        <f ca="1"/>
        <v>3.0416666666666665</v>
      </c>
      <c r="J148" t="str">
        <f ca="1"/>
        <v>C+</v>
      </c>
    </row>
    <row r="149" spans="1:10" x14ac:dyDescent="0.3">
      <c r="A149">
        <v>147</v>
      </c>
      <c r="B149" t="str">
        <f ca="1"/>
        <v>25R-A12-0012</v>
      </c>
      <c r="C149" t="str">
        <f ca="1"/>
        <v>Oscar Ramadhan</v>
      </c>
      <c r="D149" t="str">
        <f ca="1"/>
        <v>L</v>
      </c>
      <c r="E149">
        <f ca="1"/>
        <v>2025</v>
      </c>
      <c r="F149" t="str">
        <f ca="1"/>
        <v>Sains</v>
      </c>
      <c r="G149" t="str">
        <f ca="1"/>
        <v>Statistika</v>
      </c>
      <c r="H149">
        <f ca="1"/>
        <v>2</v>
      </c>
      <c r="I149" s="3">
        <f ca="1"/>
        <v>3.4791666666666665</v>
      </c>
      <c r="J149" t="str">
        <f ca="1"/>
        <v>C+</v>
      </c>
    </row>
    <row r="150" spans="1:10" x14ac:dyDescent="0.3">
      <c r="A150">
        <v>148</v>
      </c>
      <c r="B150" t="str">
        <f ca="1"/>
        <v>25R-A12-0013</v>
      </c>
      <c r="C150" t="str">
        <f ca="1"/>
        <v>Mega Prasetyo</v>
      </c>
      <c r="D150" t="str">
        <f ca="1"/>
        <v>P</v>
      </c>
      <c r="E150">
        <f ca="1"/>
        <v>2025</v>
      </c>
      <c r="F150" t="str">
        <f ca="1"/>
        <v>Sains</v>
      </c>
      <c r="G150" t="str">
        <f ca="1"/>
        <v>Statistika</v>
      </c>
      <c r="H150">
        <f ca="1"/>
        <v>2</v>
      </c>
      <c r="I150" s="3">
        <f ca="1"/>
        <v>3.125</v>
      </c>
      <c r="J150" t="str">
        <f ca="1"/>
        <v>C</v>
      </c>
    </row>
    <row r="151" spans="1:10" x14ac:dyDescent="0.3">
      <c r="A151">
        <v>149</v>
      </c>
      <c r="B151" t="str">
        <f ca="1"/>
        <v>25R-A12-0017</v>
      </c>
      <c r="C151" t="str">
        <f ca="1"/>
        <v>Krisna Lesmana</v>
      </c>
      <c r="D151" t="str">
        <f ca="1"/>
        <v>L</v>
      </c>
      <c r="E151">
        <f ca="1"/>
        <v>2025</v>
      </c>
      <c r="F151" t="str">
        <f ca="1"/>
        <v>Sains</v>
      </c>
      <c r="G151" t="str">
        <f ca="1"/>
        <v>Statistika</v>
      </c>
      <c r="H151">
        <f ca="1"/>
        <v>2</v>
      </c>
      <c r="I151" s="3">
        <f ca="1"/>
        <v>3.1770833333333335</v>
      </c>
      <c r="J151" t="str">
        <f ca="1"/>
        <v>C</v>
      </c>
    </row>
    <row r="152" spans="1:10" x14ac:dyDescent="0.3">
      <c r="A152">
        <v>150</v>
      </c>
      <c r="B152" t="str">
        <f ca="1"/>
        <v>25R-A13-0001</v>
      </c>
      <c r="C152" t="str">
        <f ca="1"/>
        <v>Ayu Ramadhan</v>
      </c>
      <c r="D152" t="str">
        <f ca="1"/>
        <v>P</v>
      </c>
      <c r="E152">
        <f ca="1"/>
        <v>2025</v>
      </c>
      <c r="F152" t="str">
        <f ca="1"/>
        <v>Sains</v>
      </c>
      <c r="G152" t="str">
        <f ca="1"/>
        <v>Biologi</v>
      </c>
      <c r="H152">
        <f ca="1"/>
        <v>2</v>
      </c>
      <c r="I152" s="3">
        <f ca="1"/>
        <v>3.59375</v>
      </c>
      <c r="J152" t="str">
        <f ca="1"/>
        <v>C+</v>
      </c>
    </row>
    <row r="153" spans="1:10" x14ac:dyDescent="0.3">
      <c r="A153">
        <v>151</v>
      </c>
      <c r="B153" t="str">
        <f ca="1"/>
        <v>25R-A13-0002</v>
      </c>
      <c r="C153" t="str">
        <f ca="1"/>
        <v>Yuni Santoso</v>
      </c>
      <c r="D153" t="str">
        <f ca="1"/>
        <v>P</v>
      </c>
      <c r="E153">
        <f ca="1"/>
        <v>2025</v>
      </c>
      <c r="F153" t="str">
        <f ca="1"/>
        <v>Sains</v>
      </c>
      <c r="G153" t="str">
        <f ca="1"/>
        <v>Biologi</v>
      </c>
      <c r="H153">
        <f ca="1"/>
        <v>2</v>
      </c>
      <c r="I153" s="3">
        <f ca="1"/>
        <v>3.625</v>
      </c>
      <c r="J153" t="str">
        <f ca="1"/>
        <v>B-</v>
      </c>
    </row>
    <row r="154" spans="1:10" x14ac:dyDescent="0.3">
      <c r="A154">
        <v>152</v>
      </c>
      <c r="B154" t="str">
        <f ca="1"/>
        <v>25R-A13-0003</v>
      </c>
      <c r="C154" t="str">
        <f ca="1"/>
        <v>Yusuf Maulana</v>
      </c>
      <c r="D154" t="str">
        <f ca="1"/>
        <v>L</v>
      </c>
      <c r="E154">
        <f ca="1"/>
        <v>2025</v>
      </c>
      <c r="F154" t="str">
        <f ca="1"/>
        <v>Sains</v>
      </c>
      <c r="G154" t="str">
        <f ca="1"/>
        <v>Biologi</v>
      </c>
      <c r="H154">
        <f ca="1"/>
        <v>2</v>
      </c>
      <c r="I154" s="3">
        <f ca="1"/>
        <v>3.1041666666666665</v>
      </c>
      <c r="J154" t="str">
        <f ca="1"/>
        <v>C+</v>
      </c>
    </row>
    <row r="155" spans="1:10" x14ac:dyDescent="0.3">
      <c r="A155">
        <v>153</v>
      </c>
      <c r="B155" t="str">
        <f ca="1"/>
        <v>25R-A13-0005</v>
      </c>
      <c r="C155" t="str">
        <f ca="1"/>
        <v>Winda Junaedi</v>
      </c>
      <c r="D155" t="str">
        <f ca="1"/>
        <v>P</v>
      </c>
      <c r="E155">
        <f ca="1"/>
        <v>2025</v>
      </c>
      <c r="F155" t="str">
        <f ca="1"/>
        <v>Sains</v>
      </c>
      <c r="G155" t="str">
        <f ca="1"/>
        <v>Biologi</v>
      </c>
      <c r="H155">
        <f ca="1"/>
        <v>2</v>
      </c>
      <c r="I155" s="3">
        <f ca="1"/>
        <v>3.2291666666666665</v>
      </c>
      <c r="J155" t="str">
        <f ca="1"/>
        <v>C</v>
      </c>
    </row>
    <row r="156" spans="1:10" x14ac:dyDescent="0.3">
      <c r="A156">
        <v>154</v>
      </c>
      <c r="B156" t="str">
        <f ca="1"/>
        <v>25R-A13-0006</v>
      </c>
      <c r="C156" t="str">
        <f ca="1"/>
        <v>Ira Irawan</v>
      </c>
      <c r="D156" t="str">
        <f ca="1"/>
        <v>P</v>
      </c>
      <c r="E156">
        <f ca="1"/>
        <v>2025</v>
      </c>
      <c r="F156" t="str">
        <f ca="1"/>
        <v>Sains</v>
      </c>
      <c r="G156" t="str">
        <f ca="1"/>
        <v>Biologi</v>
      </c>
      <c r="H156">
        <f ca="1"/>
        <v>2</v>
      </c>
      <c r="I156" s="3">
        <f ca="1"/>
        <v>3.0416666666666665</v>
      </c>
      <c r="J156" t="str">
        <f ca="1"/>
        <v>C</v>
      </c>
    </row>
    <row r="157" spans="1:10" x14ac:dyDescent="0.3">
      <c r="A157">
        <v>155</v>
      </c>
      <c r="B157" t="str">
        <f ca="1"/>
        <v>25R-A13-0007</v>
      </c>
      <c r="C157" t="str">
        <f ca="1"/>
        <v>Andi Maulana</v>
      </c>
      <c r="D157" t="str">
        <f ca="1"/>
        <v>L</v>
      </c>
      <c r="E157">
        <f ca="1"/>
        <v>2025</v>
      </c>
      <c r="F157" t="str">
        <f ca="1"/>
        <v>Sains</v>
      </c>
      <c r="G157" t="str">
        <f ca="1"/>
        <v>Biologi</v>
      </c>
      <c r="H157">
        <f ca="1"/>
        <v>2</v>
      </c>
      <c r="I157" s="3">
        <f ca="1"/>
        <v>3.25</v>
      </c>
      <c r="J157" t="str">
        <f ca="1"/>
        <v>C</v>
      </c>
    </row>
    <row r="158" spans="1:10" x14ac:dyDescent="0.3">
      <c r="A158">
        <v>156</v>
      </c>
      <c r="B158" t="str">
        <f ca="1"/>
        <v>25R-A13-0008</v>
      </c>
      <c r="C158" t="str">
        <f ca="1"/>
        <v>Eka Mardiana</v>
      </c>
      <c r="D158" t="str">
        <f ca="1"/>
        <v>P</v>
      </c>
      <c r="E158">
        <f ca="1"/>
        <v>2025</v>
      </c>
      <c r="F158" t="str">
        <f ca="1"/>
        <v>Sains</v>
      </c>
      <c r="G158" t="str">
        <f ca="1"/>
        <v>Biologi</v>
      </c>
      <c r="H158">
        <f ca="1"/>
        <v>2</v>
      </c>
      <c r="I158" s="3">
        <f ca="1"/>
        <v>3.5416666666666665</v>
      </c>
      <c r="J158" t="str">
        <f ca="1"/>
        <v>B</v>
      </c>
    </row>
    <row r="159" spans="1:10" x14ac:dyDescent="0.3">
      <c r="A159">
        <v>157</v>
      </c>
      <c r="B159" t="str">
        <f ca="1"/>
        <v>25R-A13-0009</v>
      </c>
      <c r="C159" t="str">
        <f ca="1"/>
        <v>Gema Rahman</v>
      </c>
      <c r="D159" t="str">
        <f ca="1"/>
        <v>P</v>
      </c>
      <c r="E159">
        <f ca="1"/>
        <v>2025</v>
      </c>
      <c r="F159" t="str">
        <f ca="1"/>
        <v>Sains</v>
      </c>
      <c r="G159" t="str">
        <f ca="1"/>
        <v>Biologi</v>
      </c>
      <c r="H159">
        <f ca="1"/>
        <v>2</v>
      </c>
      <c r="I159" s="3">
        <f ca="1"/>
        <v>2.8333333333333335</v>
      </c>
      <c r="J159" t="str">
        <f ca="1"/>
        <v>C</v>
      </c>
    </row>
    <row r="160" spans="1:10" x14ac:dyDescent="0.3">
      <c r="A160">
        <v>158</v>
      </c>
      <c r="B160" t="str">
        <f ca="1"/>
        <v>25R-A13-0010</v>
      </c>
      <c r="C160" t="str">
        <f ca="1"/>
        <v>Erwin Irawan</v>
      </c>
      <c r="D160" t="str">
        <f ca="1"/>
        <v>L</v>
      </c>
      <c r="E160">
        <f ca="1"/>
        <v>2025</v>
      </c>
      <c r="F160" t="str">
        <f ca="1"/>
        <v>Sains</v>
      </c>
      <c r="G160" t="str">
        <f ca="1"/>
        <v>Biologi</v>
      </c>
      <c r="H160">
        <f ca="1"/>
        <v>2</v>
      </c>
      <c r="I160" s="3">
        <f ca="1"/>
        <v>3.3854166666666665</v>
      </c>
      <c r="J160" t="str">
        <f ca="1"/>
        <v>B-</v>
      </c>
    </row>
    <row r="161" spans="1:10" x14ac:dyDescent="0.3">
      <c r="A161">
        <v>159</v>
      </c>
      <c r="B161" t="str">
        <f ca="1"/>
        <v>25R-A13-0011</v>
      </c>
      <c r="C161" t="str">
        <f ca="1"/>
        <v>Lukman Irawan</v>
      </c>
      <c r="D161" t="str">
        <f ca="1"/>
        <v>L</v>
      </c>
      <c r="E161">
        <f ca="1"/>
        <v>2025</v>
      </c>
      <c r="F161" t="str">
        <f ca="1"/>
        <v>Sains</v>
      </c>
      <c r="G161" t="str">
        <f ca="1"/>
        <v>Biologi</v>
      </c>
      <c r="H161">
        <f ca="1"/>
        <v>2</v>
      </c>
      <c r="I161" s="3">
        <f ca="1"/>
        <v>3.125</v>
      </c>
      <c r="J161" t="str">
        <f ca="1"/>
        <v>C</v>
      </c>
    </row>
    <row r="162" spans="1:10" x14ac:dyDescent="0.3">
      <c r="A162">
        <v>160</v>
      </c>
      <c r="B162" t="str">
        <f ca="1"/>
        <v>25R-A13-0012</v>
      </c>
      <c r="C162" t="str">
        <f ca="1"/>
        <v>Hendra Rahman</v>
      </c>
      <c r="D162" t="str">
        <f ca="1"/>
        <v>L</v>
      </c>
      <c r="E162">
        <f ca="1"/>
        <v>2025</v>
      </c>
      <c r="F162" t="str">
        <f ca="1"/>
        <v>Sains</v>
      </c>
      <c r="G162" t="str">
        <f ca="1"/>
        <v>Biologi</v>
      </c>
      <c r="H162">
        <f ca="1"/>
        <v>2</v>
      </c>
      <c r="I162" s="3">
        <f ca="1"/>
        <v>3.3958333333333335</v>
      </c>
      <c r="J162" t="str">
        <f ca="1"/>
        <v>B-</v>
      </c>
    </row>
    <row r="163" spans="1:10" x14ac:dyDescent="0.3">
      <c r="A163">
        <v>161</v>
      </c>
      <c r="B163" t="str">
        <f ca="1"/>
        <v>25R-A13-0013</v>
      </c>
      <c r="C163" t="str">
        <f ca="1"/>
        <v>Vera Suryadi</v>
      </c>
      <c r="D163" t="str">
        <f ca="1"/>
        <v>P</v>
      </c>
      <c r="E163">
        <f ca="1"/>
        <v>2025</v>
      </c>
      <c r="F163" t="str">
        <f ca="1"/>
        <v>Sains</v>
      </c>
      <c r="G163" t="str">
        <f ca="1"/>
        <v>Biologi</v>
      </c>
      <c r="H163">
        <f ca="1"/>
        <v>2</v>
      </c>
      <c r="I163" s="3">
        <f ca="1"/>
        <v>3.375</v>
      </c>
      <c r="J163" t="str">
        <f ca="1"/>
        <v>C+</v>
      </c>
    </row>
    <row r="164" spans="1:10" x14ac:dyDescent="0.3">
      <c r="A164">
        <v>162</v>
      </c>
      <c r="B164" t="str">
        <f ca="1"/>
        <v>25R-A13-0014</v>
      </c>
      <c r="C164" t="str">
        <f ca="1"/>
        <v>Nadia Iskandar</v>
      </c>
      <c r="D164" t="str">
        <f ca="1"/>
        <v>P</v>
      </c>
      <c r="E164">
        <f ca="1"/>
        <v>2025</v>
      </c>
      <c r="F164" t="str">
        <f ca="1"/>
        <v>Sains</v>
      </c>
      <c r="G164" t="str">
        <f ca="1"/>
        <v>Biologi</v>
      </c>
      <c r="H164">
        <f ca="1"/>
        <v>2</v>
      </c>
      <c r="I164" s="3">
        <f ca="1"/>
        <v>3.3854166666666665</v>
      </c>
      <c r="J164" t="str">
        <f ca="1"/>
        <v>C+</v>
      </c>
    </row>
    <row r="165" spans="1:10" x14ac:dyDescent="0.3">
      <c r="A165">
        <v>163</v>
      </c>
      <c r="B165" t="str">
        <f ca="1"/>
        <v>25R-A13-0015</v>
      </c>
      <c r="C165" t="str">
        <f ca="1"/>
        <v>Budi Yulianto</v>
      </c>
      <c r="D165" t="str">
        <f ca="1"/>
        <v>L</v>
      </c>
      <c r="E165">
        <f ca="1"/>
        <v>2025</v>
      </c>
      <c r="F165" t="str">
        <f ca="1"/>
        <v>Sains</v>
      </c>
      <c r="G165" t="str">
        <f ca="1"/>
        <v>Biologi</v>
      </c>
      <c r="H165">
        <f ca="1"/>
        <v>2</v>
      </c>
      <c r="I165" s="3">
        <f ca="1"/>
        <v>2.9791666666666665</v>
      </c>
      <c r="J165" t="str">
        <f ca="1"/>
        <v>C</v>
      </c>
    </row>
    <row r="166" spans="1:10" x14ac:dyDescent="0.3">
      <c r="A166">
        <v>164</v>
      </c>
      <c r="B166" t="str">
        <f ca="1"/>
        <v>25R-A13-0016</v>
      </c>
      <c r="C166" t="str">
        <f ca="1"/>
        <v>Nanda Junaedi</v>
      </c>
      <c r="D166" t="str">
        <f ca="1"/>
        <v>L</v>
      </c>
      <c r="E166">
        <f ca="1"/>
        <v>2025</v>
      </c>
      <c r="F166" t="str">
        <f ca="1"/>
        <v>Sains</v>
      </c>
      <c r="G166" t="str">
        <f ca="1"/>
        <v>Biologi</v>
      </c>
      <c r="H166">
        <f ca="1"/>
        <v>2</v>
      </c>
      <c r="I166" s="3">
        <f ca="1"/>
        <v>3.3645833333333335</v>
      </c>
      <c r="J166" t="str">
        <f ca="1"/>
        <v>C+</v>
      </c>
    </row>
    <row r="167" spans="1:10" x14ac:dyDescent="0.3">
      <c r="A167">
        <v>165</v>
      </c>
      <c r="B167" t="str">
        <f ca="1"/>
        <v>25R-A13-0018</v>
      </c>
      <c r="C167" t="str">
        <f ca="1"/>
        <v>Zainal Suryadi</v>
      </c>
      <c r="D167" t="str">
        <f ca="1"/>
        <v>L</v>
      </c>
      <c r="E167">
        <f ca="1"/>
        <v>2025</v>
      </c>
      <c r="F167" t="str">
        <f ca="1"/>
        <v>Sains</v>
      </c>
      <c r="G167" t="str">
        <f ca="1"/>
        <v>Biologi</v>
      </c>
      <c r="H167">
        <f ca="1"/>
        <v>2</v>
      </c>
      <c r="I167" s="3">
        <f ca="1"/>
        <v>3.2708333333333335</v>
      </c>
      <c r="J167" t="str">
        <f ca="1"/>
        <v>C</v>
      </c>
    </row>
    <row r="168" spans="1:10" x14ac:dyDescent="0.3">
      <c r="A168">
        <v>166</v>
      </c>
      <c r="B168" t="str">
        <f ca="1"/>
        <v>25R-A13-0020</v>
      </c>
      <c r="C168" t="str">
        <f ca="1"/>
        <v>Gilang Wahyudi</v>
      </c>
      <c r="D168" t="str">
        <f ca="1"/>
        <v>L</v>
      </c>
      <c r="E168">
        <f ca="1"/>
        <v>2025</v>
      </c>
      <c r="F168" t="str">
        <f ca="1"/>
        <v>Sains</v>
      </c>
      <c r="G168" t="str">
        <f ca="1"/>
        <v>Biologi</v>
      </c>
      <c r="H168">
        <f ca="1"/>
        <v>2</v>
      </c>
      <c r="I168" s="3">
        <f ca="1"/>
        <v>3.4375</v>
      </c>
      <c r="J168" t="str">
        <f ca="1"/>
        <v>B-</v>
      </c>
    </row>
    <row r="169" spans="1:10" x14ac:dyDescent="0.3">
      <c r="A169">
        <v>167</v>
      </c>
      <c r="B169" t="str">
        <f ca="1"/>
        <v>25R-A13-0022</v>
      </c>
      <c r="C169" t="str">
        <f ca="1"/>
        <v>Siti Halim</v>
      </c>
      <c r="D169" t="str">
        <f ca="1"/>
        <v>P</v>
      </c>
      <c r="E169">
        <f ca="1"/>
        <v>2025</v>
      </c>
      <c r="F169" t="str">
        <f ca="1"/>
        <v>Sains</v>
      </c>
      <c r="G169" t="str">
        <f ca="1"/>
        <v>Biologi</v>
      </c>
      <c r="H169">
        <f ca="1"/>
        <v>2</v>
      </c>
      <c r="I169" s="3">
        <f ca="1"/>
        <v>3.15625</v>
      </c>
      <c r="J169" t="str">
        <f ca="1"/>
        <v>C+</v>
      </c>
    </row>
    <row r="170" spans="1:10" x14ac:dyDescent="0.3">
      <c r="A170">
        <v>168</v>
      </c>
      <c r="B170" t="str">
        <f ca="1"/>
        <v>25R-A13-0023</v>
      </c>
      <c r="C170" t="str">
        <f ca="1"/>
        <v>Pandu Utama</v>
      </c>
      <c r="D170" t="str">
        <f ca="1"/>
        <v>L</v>
      </c>
      <c r="E170">
        <f ca="1"/>
        <v>2025</v>
      </c>
      <c r="F170" t="str">
        <f ca="1"/>
        <v>Sains</v>
      </c>
      <c r="G170" t="str">
        <f ca="1"/>
        <v>Biologi</v>
      </c>
      <c r="H170">
        <f ca="1"/>
        <v>2</v>
      </c>
      <c r="I170" s="3">
        <f ca="1"/>
        <v>3.2291666666666665</v>
      </c>
      <c r="J170" t="str">
        <f ca="1"/>
        <v>C+</v>
      </c>
    </row>
    <row r="171" spans="1:10" x14ac:dyDescent="0.3">
      <c r="A171">
        <v>169</v>
      </c>
      <c r="B171" t="str">
        <f ca="1"/>
        <v>25R-A21-0001</v>
      </c>
      <c r="C171" t="str">
        <f ca="1"/>
        <v>Dedi Wahyudi</v>
      </c>
      <c r="D171" t="str">
        <f ca="1"/>
        <v>L</v>
      </c>
      <c r="E171">
        <f ca="1"/>
        <v>2025</v>
      </c>
      <c r="F171" t="str">
        <f ca="1"/>
        <v>Teknik</v>
      </c>
      <c r="G171" t="str">
        <f ca="1"/>
        <v>Teknik Informatika</v>
      </c>
      <c r="H171">
        <f ca="1"/>
        <v>2</v>
      </c>
      <c r="I171" s="3">
        <f ca="1"/>
        <v>3.5104166666666665</v>
      </c>
      <c r="J171" t="str">
        <f ca="1"/>
        <v>B-</v>
      </c>
    </row>
    <row r="172" spans="1:10" x14ac:dyDescent="0.3">
      <c r="A172">
        <v>170</v>
      </c>
      <c r="B172" t="str">
        <f ca="1"/>
        <v>25R-A21-0005</v>
      </c>
      <c r="C172" t="str">
        <f ca="1"/>
        <v>Yuni Utama</v>
      </c>
      <c r="D172" t="str">
        <f ca="1"/>
        <v>P</v>
      </c>
      <c r="E172">
        <f ca="1"/>
        <v>2025</v>
      </c>
      <c r="F172" t="str">
        <f ca="1"/>
        <v>Teknik</v>
      </c>
      <c r="G172" t="str">
        <f ca="1"/>
        <v>Teknik Informatika</v>
      </c>
      <c r="H172">
        <f ca="1"/>
        <v>2</v>
      </c>
      <c r="I172" s="3">
        <f ca="1"/>
        <v>2.9479166666666665</v>
      </c>
      <c r="J172" t="str">
        <f ca="1"/>
        <v>C</v>
      </c>
    </row>
    <row r="173" spans="1:10" x14ac:dyDescent="0.3">
      <c r="A173">
        <v>171</v>
      </c>
      <c r="B173" t="str">
        <f ca="1"/>
        <v>25R-A21-0006</v>
      </c>
      <c r="C173" t="str">
        <f ca="1"/>
        <v>Mega Suryadi</v>
      </c>
      <c r="D173" t="str">
        <f ca="1"/>
        <v>P</v>
      </c>
      <c r="E173">
        <f ca="1"/>
        <v>2025</v>
      </c>
      <c r="F173" t="str">
        <f ca="1"/>
        <v>Teknik</v>
      </c>
      <c r="G173" t="str">
        <f ca="1"/>
        <v>Teknik Informatika</v>
      </c>
      <c r="H173">
        <f ca="1"/>
        <v>2</v>
      </c>
      <c r="I173" s="3">
        <f ca="1"/>
        <v>3.09375</v>
      </c>
      <c r="J173" t="str">
        <f ca="1"/>
        <v>C+</v>
      </c>
    </row>
    <row r="174" spans="1:10" x14ac:dyDescent="0.3">
      <c r="A174">
        <v>172</v>
      </c>
      <c r="B174" t="str">
        <f ca="1"/>
        <v>25R-A21-0007</v>
      </c>
      <c r="C174" t="str">
        <f ca="1"/>
        <v>Gema Firmansyah</v>
      </c>
      <c r="D174" t="str">
        <f ca="1"/>
        <v>P</v>
      </c>
      <c r="E174">
        <f ca="1"/>
        <v>2025</v>
      </c>
      <c r="F174" t="str">
        <f ca="1"/>
        <v>Teknik</v>
      </c>
      <c r="G174" t="str">
        <f ca="1"/>
        <v>Teknik Informatika</v>
      </c>
      <c r="H174">
        <f ca="1"/>
        <v>2</v>
      </c>
      <c r="I174" s="3">
        <f ca="1"/>
        <v>3.2083333333333335</v>
      </c>
      <c r="J174" t="str">
        <f ca="1"/>
        <v>C+</v>
      </c>
    </row>
    <row r="175" spans="1:10" x14ac:dyDescent="0.3">
      <c r="A175">
        <v>173</v>
      </c>
      <c r="B175" t="str">
        <f ca="1"/>
        <v>25R-A21-0010</v>
      </c>
      <c r="C175" t="str">
        <f ca="1"/>
        <v>Elsa Permana</v>
      </c>
      <c r="D175" t="str">
        <f ca="1"/>
        <v>P</v>
      </c>
      <c r="E175">
        <f ca="1"/>
        <v>2025</v>
      </c>
      <c r="F175" t="str">
        <f ca="1"/>
        <v>Teknik</v>
      </c>
      <c r="G175" t="str">
        <f ca="1"/>
        <v>Teknik Informatika</v>
      </c>
      <c r="H175">
        <f ca="1"/>
        <v>2</v>
      </c>
      <c r="I175" s="3">
        <f ca="1"/>
        <v>3.2083333333333335</v>
      </c>
      <c r="J175" t="str">
        <f ca="1"/>
        <v>C</v>
      </c>
    </row>
    <row r="176" spans="1:10" x14ac:dyDescent="0.3">
      <c r="A176">
        <v>174</v>
      </c>
      <c r="B176" t="str">
        <f ca="1"/>
        <v>25R-A21-0011</v>
      </c>
      <c r="C176" t="str">
        <f ca="1"/>
        <v>Yusuf Siregar</v>
      </c>
      <c r="D176" t="str">
        <f ca="1"/>
        <v>L</v>
      </c>
      <c r="E176">
        <f ca="1"/>
        <v>2025</v>
      </c>
      <c r="F176" t="str">
        <f ca="1"/>
        <v>Teknik</v>
      </c>
      <c r="G176" t="str">
        <f ca="1"/>
        <v>Teknik Informatika</v>
      </c>
      <c r="H176">
        <f ca="1"/>
        <v>2</v>
      </c>
      <c r="I176" s="3">
        <f ca="1"/>
        <v>3.1145833333333335</v>
      </c>
      <c r="J176" t="str">
        <f ca="1"/>
        <v>C+</v>
      </c>
    </row>
    <row r="177" spans="1:10" x14ac:dyDescent="0.3">
      <c r="A177">
        <v>175</v>
      </c>
      <c r="B177" t="str">
        <f ca="1"/>
        <v>25R-A21-0012</v>
      </c>
      <c r="C177" t="str">
        <f ca="1"/>
        <v>Zahra Mardiana</v>
      </c>
      <c r="D177" t="str">
        <f ca="1"/>
        <v>P</v>
      </c>
      <c r="E177">
        <f ca="1"/>
        <v>2025</v>
      </c>
      <c r="F177" t="str">
        <f ca="1"/>
        <v>Teknik</v>
      </c>
      <c r="G177" t="str">
        <f ca="1"/>
        <v>Teknik Informatika</v>
      </c>
      <c r="H177">
        <f ca="1"/>
        <v>2</v>
      </c>
      <c r="I177" s="3">
        <f ca="1"/>
        <v>3.3854166666666665</v>
      </c>
      <c r="J177" t="str">
        <f ca="1"/>
        <v>C</v>
      </c>
    </row>
    <row r="178" spans="1:10" x14ac:dyDescent="0.3">
      <c r="A178">
        <v>176</v>
      </c>
      <c r="B178" t="str">
        <f ca="1"/>
        <v>25R-A21-0015</v>
      </c>
      <c r="C178" t="str">
        <f ca="1"/>
        <v>Nanda Mardiana</v>
      </c>
      <c r="D178" t="str">
        <f ca="1"/>
        <v>L</v>
      </c>
      <c r="E178">
        <f ca="1"/>
        <v>2025</v>
      </c>
      <c r="F178" t="str">
        <f ca="1"/>
        <v>Teknik</v>
      </c>
      <c r="G178" t="str">
        <f ca="1"/>
        <v>Teknik Informatika</v>
      </c>
      <c r="H178">
        <f ca="1"/>
        <v>2</v>
      </c>
      <c r="I178" s="3">
        <f ca="1"/>
        <v>3.1979166666666665</v>
      </c>
      <c r="J178" t="str">
        <f ca="1"/>
        <v>C</v>
      </c>
    </row>
    <row r="179" spans="1:10" x14ac:dyDescent="0.3">
      <c r="A179">
        <v>177</v>
      </c>
      <c r="B179" t="str">
        <f ca="1"/>
        <v>25R-A22-0001</v>
      </c>
      <c r="C179" t="str">
        <f ca="1"/>
        <v>Rian Oktavianus</v>
      </c>
      <c r="D179" t="str">
        <f ca="1"/>
        <v>L</v>
      </c>
      <c r="E179">
        <f ca="1"/>
        <v>2025</v>
      </c>
      <c r="F179" t="str">
        <f ca="1"/>
        <v>Teknik</v>
      </c>
      <c r="G179" t="str">
        <f ca="1"/>
        <v>Teknik Industri</v>
      </c>
      <c r="H179">
        <f ca="1"/>
        <v>2</v>
      </c>
      <c r="I179" s="3">
        <f ca="1"/>
        <v>3.2916666666666665</v>
      </c>
      <c r="J179" t="str">
        <f ca="1"/>
        <v>B-</v>
      </c>
    </row>
    <row r="180" spans="1:10" x14ac:dyDescent="0.3">
      <c r="A180">
        <v>178</v>
      </c>
      <c r="B180" t="str">
        <f ca="1"/>
        <v>25R-A22-0002</v>
      </c>
      <c r="C180" t="str">
        <f ca="1"/>
        <v>Ani Wahyudi</v>
      </c>
      <c r="D180" t="str">
        <f ca="1"/>
        <v>P</v>
      </c>
      <c r="E180">
        <f ca="1"/>
        <v>2025</v>
      </c>
      <c r="F180" t="str">
        <f ca="1"/>
        <v>Teknik</v>
      </c>
      <c r="G180" t="str">
        <f ca="1"/>
        <v>Teknik Industri</v>
      </c>
      <c r="H180">
        <f ca="1"/>
        <v>2</v>
      </c>
      <c r="I180" s="3">
        <f ca="1"/>
        <v>3.46875</v>
      </c>
      <c r="J180" t="str">
        <f ca="1"/>
        <v>C</v>
      </c>
    </row>
    <row r="181" spans="1:10" x14ac:dyDescent="0.3">
      <c r="A181">
        <v>179</v>
      </c>
      <c r="B181" t="str">
        <f ca="1"/>
        <v>25R-A22-0003</v>
      </c>
      <c r="C181" t="str">
        <f ca="1"/>
        <v>Lina Suryadi</v>
      </c>
      <c r="D181" t="str">
        <f ca="1"/>
        <v>P</v>
      </c>
      <c r="E181">
        <f ca="1"/>
        <v>2025</v>
      </c>
      <c r="F181" t="str">
        <f ca="1"/>
        <v>Teknik</v>
      </c>
      <c r="G181" t="str">
        <f ca="1"/>
        <v>Teknik Industri</v>
      </c>
      <c r="H181">
        <f ca="1"/>
        <v>2</v>
      </c>
      <c r="I181" s="3">
        <f ca="1"/>
        <v>3.3125</v>
      </c>
      <c r="J181" t="str">
        <f ca="1"/>
        <v>B</v>
      </c>
    </row>
    <row r="182" spans="1:10" x14ac:dyDescent="0.3">
      <c r="A182">
        <v>180</v>
      </c>
      <c r="B182" t="str">
        <f ca="1"/>
        <v>25R-A22-0004</v>
      </c>
      <c r="C182" t="str">
        <f ca="1"/>
        <v>Andi Lubis</v>
      </c>
      <c r="D182" t="str">
        <f ca="1"/>
        <v>L</v>
      </c>
      <c r="E182">
        <f ca="1"/>
        <v>2025</v>
      </c>
      <c r="F182" t="str">
        <f ca="1"/>
        <v>Teknik</v>
      </c>
      <c r="G182" t="str">
        <f ca="1"/>
        <v>Teknik Industri</v>
      </c>
      <c r="H182">
        <f ca="1"/>
        <v>2</v>
      </c>
      <c r="I182" s="3">
        <f ca="1"/>
        <v>3.25</v>
      </c>
      <c r="J182" t="str">
        <f ca="1"/>
        <v>C</v>
      </c>
    </row>
    <row r="183" spans="1:10" x14ac:dyDescent="0.3">
      <c r="A183">
        <v>181</v>
      </c>
      <c r="B183" t="str">
        <f ca="1"/>
        <v>25R-A22-0007</v>
      </c>
      <c r="C183" t="str">
        <f ca="1"/>
        <v>Taufik Setiawan</v>
      </c>
      <c r="D183" t="str">
        <f ca="1"/>
        <v>L</v>
      </c>
      <c r="E183">
        <f ca="1"/>
        <v>2025</v>
      </c>
      <c r="F183" t="str">
        <f ca="1"/>
        <v>Teknik</v>
      </c>
      <c r="G183" t="str">
        <f ca="1"/>
        <v>Teknik Industri</v>
      </c>
      <c r="H183">
        <f ca="1"/>
        <v>2</v>
      </c>
      <c r="I183" s="3">
        <f ca="1"/>
        <v>3.21875</v>
      </c>
      <c r="J183" t="str">
        <f ca="1"/>
        <v>C</v>
      </c>
    </row>
    <row r="184" spans="1:10" x14ac:dyDescent="0.3">
      <c r="A184">
        <v>182</v>
      </c>
      <c r="B184" t="str">
        <f ca="1"/>
        <v>25R-A22-0010</v>
      </c>
      <c r="C184" t="str">
        <f ca="1"/>
        <v>Ira Nasution</v>
      </c>
      <c r="D184" t="str">
        <f ca="1"/>
        <v>P</v>
      </c>
      <c r="E184">
        <f ca="1"/>
        <v>2025</v>
      </c>
      <c r="F184" t="str">
        <f ca="1"/>
        <v>Teknik</v>
      </c>
      <c r="G184" t="str">
        <f ca="1"/>
        <v>Teknik Industri</v>
      </c>
      <c r="H184">
        <f ca="1"/>
        <v>2</v>
      </c>
      <c r="I184" s="3">
        <f ca="1"/>
        <v>3.1979166666666665</v>
      </c>
      <c r="J184" t="str">
        <f ca="1"/>
        <v>C</v>
      </c>
    </row>
    <row r="185" spans="1:10" x14ac:dyDescent="0.3">
      <c r="A185">
        <v>183</v>
      </c>
      <c r="B185" t="str">
        <f ca="1"/>
        <v>25R-A22-0011</v>
      </c>
      <c r="C185" t="str">
        <f ca="1"/>
        <v>Nadia Santoso</v>
      </c>
      <c r="D185" t="str">
        <f ca="1"/>
        <v>P</v>
      </c>
      <c r="E185">
        <f ca="1"/>
        <v>2025</v>
      </c>
      <c r="F185" t="str">
        <f ca="1"/>
        <v>Teknik</v>
      </c>
      <c r="G185" t="str">
        <f ca="1"/>
        <v>Teknik Industri</v>
      </c>
      <c r="H185">
        <f ca="1"/>
        <v>2</v>
      </c>
      <c r="I185" s="3">
        <f ca="1"/>
        <v>3.375</v>
      </c>
      <c r="J185" t="str">
        <f ca="1"/>
        <v>C+</v>
      </c>
    </row>
    <row r="186" spans="1:10" x14ac:dyDescent="0.3">
      <c r="A186">
        <v>184</v>
      </c>
      <c r="B186" t="str">
        <f ca="1"/>
        <v>25R-A22-0012</v>
      </c>
      <c r="C186" t="str">
        <f ca="1"/>
        <v>Elsa Ramadhan</v>
      </c>
      <c r="D186" t="str">
        <f ca="1"/>
        <v>P</v>
      </c>
      <c r="E186">
        <f ca="1"/>
        <v>2025</v>
      </c>
      <c r="F186" t="str">
        <f ca="1"/>
        <v>Teknik</v>
      </c>
      <c r="G186" t="str">
        <f ca="1"/>
        <v>Teknik Industri</v>
      </c>
      <c r="H186">
        <f ca="1"/>
        <v>2</v>
      </c>
      <c r="I186" s="3">
        <f ca="1"/>
        <v>3.15625</v>
      </c>
      <c r="J186" t="str">
        <f ca="1"/>
        <v>C</v>
      </c>
    </row>
    <row r="187" spans="1:10" x14ac:dyDescent="0.3">
      <c r="A187">
        <v>185</v>
      </c>
      <c r="B187" t="str">
        <f ca="1"/>
        <v>25R-A31-0002</v>
      </c>
      <c r="C187" t="str">
        <f ca="1"/>
        <v>Ira Zulkarnain</v>
      </c>
      <c r="D187" t="str">
        <f ca="1"/>
        <v>P</v>
      </c>
      <c r="E187">
        <f ca="1"/>
        <v>2025</v>
      </c>
      <c r="F187" t="str">
        <f ca="1"/>
        <v>Ekonomi</v>
      </c>
      <c r="G187" t="str">
        <f ca="1"/>
        <v>Manajemen</v>
      </c>
      <c r="H187">
        <f ca="1"/>
        <v>2</v>
      </c>
      <c r="I187" s="3">
        <f ca="1"/>
        <v>3.2291666666666665</v>
      </c>
      <c r="J187" t="str">
        <f ca="1"/>
        <v>C+</v>
      </c>
    </row>
    <row r="188" spans="1:10" x14ac:dyDescent="0.3">
      <c r="A188">
        <v>186</v>
      </c>
      <c r="B188" t="str">
        <f ca="1"/>
        <v>25R-A31-0003</v>
      </c>
      <c r="C188" t="str">
        <f ca="1"/>
        <v>Ayu Wardani</v>
      </c>
      <c r="D188" t="str">
        <f ca="1"/>
        <v>P</v>
      </c>
      <c r="E188">
        <f ca="1"/>
        <v>2025</v>
      </c>
      <c r="F188" t="str">
        <f ca="1"/>
        <v>Ekonomi</v>
      </c>
      <c r="G188" t="str">
        <f ca="1"/>
        <v>Manajemen</v>
      </c>
      <c r="H188">
        <f ca="1"/>
        <v>2</v>
      </c>
      <c r="I188" s="3">
        <f ca="1"/>
        <v>2.96875</v>
      </c>
      <c r="J188" t="str">
        <f ca="1"/>
        <v>C</v>
      </c>
    </row>
    <row r="189" spans="1:10" x14ac:dyDescent="0.3">
      <c r="A189">
        <v>187</v>
      </c>
      <c r="B189" t="str">
        <f ca="1"/>
        <v>25R-A31-0004</v>
      </c>
      <c r="C189" t="str">
        <f ca="1"/>
        <v>Kartika Ramadhan</v>
      </c>
      <c r="D189" t="str">
        <f ca="1"/>
        <v>P</v>
      </c>
      <c r="E189">
        <f ca="1"/>
        <v>2025</v>
      </c>
      <c r="F189" t="str">
        <f ca="1"/>
        <v>Ekonomi</v>
      </c>
      <c r="G189" t="str">
        <f ca="1"/>
        <v>Manajemen</v>
      </c>
      <c r="H189">
        <f ca="1"/>
        <v>2</v>
      </c>
      <c r="I189" s="3">
        <f ca="1"/>
        <v>3.4375</v>
      </c>
      <c r="J189" t="str">
        <f ca="1"/>
        <v>B</v>
      </c>
    </row>
    <row r="190" spans="1:10" x14ac:dyDescent="0.3">
      <c r="A190">
        <v>188</v>
      </c>
      <c r="B190" t="str">
        <f ca="1"/>
        <v>25R-A31-0009</v>
      </c>
      <c r="C190" t="str">
        <f ca="1"/>
        <v>Vino Tanjung</v>
      </c>
      <c r="D190" t="str">
        <f ca="1"/>
        <v>L</v>
      </c>
      <c r="E190">
        <f ca="1"/>
        <v>2025</v>
      </c>
      <c r="F190" t="str">
        <f ca="1"/>
        <v>Ekonomi</v>
      </c>
      <c r="G190" t="str">
        <f ca="1"/>
        <v>Manajemen</v>
      </c>
      <c r="H190">
        <f ca="1"/>
        <v>2</v>
      </c>
      <c r="I190" s="3">
        <f ca="1"/>
        <v>3.25</v>
      </c>
      <c r="J190" t="str">
        <f ca="1"/>
        <v>B-</v>
      </c>
    </row>
    <row r="191" spans="1:10" x14ac:dyDescent="0.3">
      <c r="A191">
        <v>189</v>
      </c>
      <c r="B191" t="str">
        <f ca="1"/>
        <v>25R-A31-0011</v>
      </c>
      <c r="C191" t="str">
        <f ca="1"/>
        <v>Ira Prasetyo</v>
      </c>
      <c r="D191" t="str">
        <f ca="1"/>
        <v>P</v>
      </c>
      <c r="E191">
        <f ca="1"/>
        <v>2025</v>
      </c>
      <c r="F191" t="str">
        <f ca="1"/>
        <v>Ekonomi</v>
      </c>
      <c r="G191" t="str">
        <f ca="1"/>
        <v>Manajemen</v>
      </c>
      <c r="H191">
        <f ca="1"/>
        <v>2</v>
      </c>
      <c r="I191" s="3">
        <f ca="1"/>
        <v>3.3645833333333335</v>
      </c>
      <c r="J191" t="str">
        <f ca="1"/>
        <v>C</v>
      </c>
    </row>
    <row r="192" spans="1:10" x14ac:dyDescent="0.3">
      <c r="A192">
        <v>190</v>
      </c>
      <c r="B192" t="str">
        <f ca="1"/>
        <v>25R-A31-0014</v>
      </c>
      <c r="C192" t="str">
        <f ca="1"/>
        <v>Dedi Pratama</v>
      </c>
      <c r="D192" t="str">
        <f ca="1"/>
        <v>L</v>
      </c>
      <c r="E192">
        <f ca="1"/>
        <v>2025</v>
      </c>
      <c r="F192" t="str">
        <f ca="1"/>
        <v>Ekonomi</v>
      </c>
      <c r="G192" t="str">
        <f ca="1"/>
        <v>Manajemen</v>
      </c>
      <c r="H192">
        <f ca="1"/>
        <v>2</v>
      </c>
      <c r="I192" s="3">
        <f ca="1"/>
        <v>3.5416666666666665</v>
      </c>
      <c r="J192" t="str">
        <f ca="1"/>
        <v>C</v>
      </c>
    </row>
    <row r="193" spans="1:10" x14ac:dyDescent="0.3">
      <c r="A193">
        <v>191</v>
      </c>
      <c r="B193" t="str">
        <f ca="1"/>
        <v>25R-A31-0015</v>
      </c>
      <c r="C193" t="str">
        <f ca="1"/>
        <v>Vino Mardiana</v>
      </c>
      <c r="D193" t="str">
        <f ca="1"/>
        <v>L</v>
      </c>
      <c r="E193">
        <f ca="1"/>
        <v>2025</v>
      </c>
      <c r="F193" t="str">
        <f ca="1"/>
        <v>Ekonomi</v>
      </c>
      <c r="G193" t="str">
        <f ca="1"/>
        <v>Manajemen</v>
      </c>
      <c r="H193">
        <f ca="1"/>
        <v>2</v>
      </c>
      <c r="I193" s="3">
        <f ca="1"/>
        <v>3.2291666666666665</v>
      </c>
      <c r="J193" t="str">
        <f ca="1"/>
        <v>C</v>
      </c>
    </row>
    <row r="194" spans="1:10" x14ac:dyDescent="0.3">
      <c r="A194">
        <v>192</v>
      </c>
      <c r="B194" t="str">
        <f ca="1"/>
        <v>25R-A31-0017</v>
      </c>
      <c r="C194" t="str">
        <f ca="1"/>
        <v>Candra Irawan</v>
      </c>
      <c r="D194" t="str">
        <f ca="1"/>
        <v>L</v>
      </c>
      <c r="E194">
        <f ca="1"/>
        <v>2025</v>
      </c>
      <c r="F194" t="str">
        <f ca="1"/>
        <v>Ekonomi</v>
      </c>
      <c r="G194" t="str">
        <f ca="1"/>
        <v>Manajemen</v>
      </c>
      <c r="H194">
        <f ca="1"/>
        <v>2</v>
      </c>
      <c r="I194" s="3">
        <f ca="1"/>
        <v>3.0104166666666665</v>
      </c>
      <c r="J194" t="str">
        <f ca="1"/>
        <v>C</v>
      </c>
    </row>
    <row r="195" spans="1:10" x14ac:dyDescent="0.3">
      <c r="A195">
        <v>193</v>
      </c>
      <c r="B195" t="str">
        <f ca="1"/>
        <v>25R-A32-0001</v>
      </c>
      <c r="C195" t="str">
        <f ca="1"/>
        <v>Fitri Nasution</v>
      </c>
      <c r="D195" t="str">
        <f ca="1"/>
        <v>P</v>
      </c>
      <c r="E195">
        <f ca="1"/>
        <v>2025</v>
      </c>
      <c r="F195" t="str">
        <f ca="1"/>
        <v>Ekonomi</v>
      </c>
      <c r="G195" t="str">
        <f ca="1"/>
        <v xml:space="preserve"> Akuntansi</v>
      </c>
      <c r="H195">
        <f ca="1"/>
        <v>2</v>
      </c>
      <c r="I195" s="3">
        <f ca="1"/>
        <v>3.3333333333333335</v>
      </c>
      <c r="J195" t="str">
        <f ca="1"/>
        <v>B-</v>
      </c>
    </row>
    <row r="196" spans="1:10" x14ac:dyDescent="0.3">
      <c r="A196">
        <v>194</v>
      </c>
      <c r="B196" t="str">
        <f ca="1"/>
        <v>25R-A32-0002</v>
      </c>
      <c r="C196" t="str">
        <f ca="1"/>
        <v>Kartika Wardani</v>
      </c>
      <c r="D196" t="str">
        <f ca="1"/>
        <v>P</v>
      </c>
      <c r="E196">
        <f ca="1"/>
        <v>2025</v>
      </c>
      <c r="F196" t="str">
        <f ca="1"/>
        <v>Ekonomi</v>
      </c>
      <c r="G196" t="str">
        <f ca="1"/>
        <v xml:space="preserve"> Akuntansi</v>
      </c>
      <c r="H196">
        <f ca="1"/>
        <v>2</v>
      </c>
      <c r="I196" s="3">
        <f ca="1"/>
        <v>3.1354166666666665</v>
      </c>
      <c r="J196" t="str">
        <f ca="1"/>
        <v>C</v>
      </c>
    </row>
    <row r="197" spans="1:10" x14ac:dyDescent="0.3">
      <c r="A197">
        <v>195</v>
      </c>
      <c r="B197" t="str">
        <f ca="1"/>
        <v>25R-A32-0004</v>
      </c>
      <c r="C197" t="str">
        <f ca="1"/>
        <v>Dimas Rahman</v>
      </c>
      <c r="D197" t="str">
        <f ca="1"/>
        <v>L</v>
      </c>
      <c r="E197">
        <f ca="1"/>
        <v>2025</v>
      </c>
      <c r="F197" t="str">
        <f ca="1"/>
        <v>Ekonomi</v>
      </c>
      <c r="G197" t="str">
        <f ca="1"/>
        <v xml:space="preserve"> Akuntansi</v>
      </c>
      <c r="H197">
        <f ca="1"/>
        <v>2</v>
      </c>
      <c r="I197" s="3">
        <f ca="1"/>
        <v>3.0625</v>
      </c>
      <c r="J197" t="str">
        <f ca="1"/>
        <v>C+</v>
      </c>
    </row>
    <row r="198" spans="1:10" x14ac:dyDescent="0.3">
      <c r="A198">
        <v>196</v>
      </c>
      <c r="B198" t="str">
        <f ca="1"/>
        <v>25R-A32-0005</v>
      </c>
      <c r="C198" t="str">
        <f ca="1"/>
        <v>Cinta Susanto</v>
      </c>
      <c r="D198" t="str">
        <f ca="1"/>
        <v>P</v>
      </c>
      <c r="E198">
        <f ca="1"/>
        <v>2025</v>
      </c>
      <c r="F198" t="str">
        <f ca="1"/>
        <v>Ekonomi</v>
      </c>
      <c r="G198" t="str">
        <f ca="1"/>
        <v xml:space="preserve"> Akuntansi</v>
      </c>
      <c r="H198">
        <f ca="1"/>
        <v>2</v>
      </c>
      <c r="I198" s="3">
        <f ca="1"/>
        <v>3.1145833333333335</v>
      </c>
      <c r="J198" t="str">
        <f ca="1"/>
        <v>C+</v>
      </c>
    </row>
    <row r="199" spans="1:10" x14ac:dyDescent="0.3">
      <c r="A199">
        <v>197</v>
      </c>
      <c r="B199" t="str">
        <f ca="1"/>
        <v>25R-A32-0009</v>
      </c>
      <c r="C199" t="str">
        <f ca="1"/>
        <v>Tono Utama</v>
      </c>
      <c r="D199" t="str">
        <f ca="1"/>
        <v>L</v>
      </c>
      <c r="E199">
        <f ca="1"/>
        <v>2025</v>
      </c>
      <c r="F199" t="str">
        <f ca="1"/>
        <v>Ekonomi</v>
      </c>
      <c r="G199" t="str">
        <f ca="1"/>
        <v xml:space="preserve"> Akuntansi</v>
      </c>
      <c r="H199">
        <f ca="1"/>
        <v>2</v>
      </c>
      <c r="I199" s="3">
        <f ca="1"/>
        <v>3.3541666666666665</v>
      </c>
      <c r="J199" t="str">
        <f ca="1"/>
        <v>C</v>
      </c>
    </row>
    <row r="200" spans="1:10" x14ac:dyDescent="0.3">
      <c r="A200">
        <v>198</v>
      </c>
      <c r="B200" t="str">
        <f ca="1"/>
        <v>25R-A32-0011</v>
      </c>
      <c r="C200" t="str">
        <f ca="1"/>
        <v>Intan Zulkarnain</v>
      </c>
      <c r="D200" t="str">
        <f ca="1"/>
        <v>P</v>
      </c>
      <c r="E200">
        <f ca="1"/>
        <v>2025</v>
      </c>
      <c r="F200" t="str">
        <f ca="1"/>
        <v>Ekonomi</v>
      </c>
      <c r="G200" t="str">
        <f ca="1"/>
        <v xml:space="preserve"> Akuntansi</v>
      </c>
      <c r="H200">
        <f ca="1"/>
        <v>2</v>
      </c>
      <c r="I200" s="3">
        <f ca="1"/>
        <v>3.2604166666666665</v>
      </c>
      <c r="J200" t="str">
        <f ca="1"/>
        <v>C</v>
      </c>
    </row>
    <row r="201" spans="1:10" x14ac:dyDescent="0.3">
      <c r="A201">
        <v>199</v>
      </c>
      <c r="B201" t="str">
        <f ca="1"/>
        <v>25R-A32-0014</v>
      </c>
      <c r="C201" t="str">
        <f ca="1"/>
        <v>Vina Suryadi</v>
      </c>
      <c r="D201" t="str">
        <f ca="1"/>
        <v>P</v>
      </c>
      <c r="E201">
        <f ca="1"/>
        <v>2025</v>
      </c>
      <c r="F201" t="str">
        <f ca="1"/>
        <v>Ekonomi</v>
      </c>
      <c r="G201" t="str">
        <f ca="1"/>
        <v xml:space="preserve"> Akuntansi</v>
      </c>
      <c r="H201">
        <f ca="1"/>
        <v>2</v>
      </c>
      <c r="I201" s="3">
        <f ca="1"/>
        <v>3.0625</v>
      </c>
      <c r="J201" t="str">
        <f ca="1"/>
        <v>C</v>
      </c>
    </row>
    <row r="202" spans="1:10" x14ac:dyDescent="0.3">
      <c r="A202">
        <v>200</v>
      </c>
      <c r="B202" t="str">
        <f ca="1"/>
        <v>25R-A32-0018</v>
      </c>
      <c r="C202" t="str">
        <f ca="1"/>
        <v>Ujang Junaedi</v>
      </c>
      <c r="D202" t="str">
        <f ca="1"/>
        <v>L</v>
      </c>
      <c r="E202">
        <f ca="1"/>
        <v>2025</v>
      </c>
      <c r="F202" t="str">
        <f ca="1"/>
        <v>Ekonomi</v>
      </c>
      <c r="G202" t="str">
        <f ca="1"/>
        <v xml:space="preserve"> Akuntansi</v>
      </c>
      <c r="H202">
        <f ca="1"/>
        <v>2</v>
      </c>
      <c r="I202" s="3">
        <f ca="1"/>
        <v>3.15625</v>
      </c>
      <c r="J202" t="str">
        <f ca="1"/>
        <v>C</v>
      </c>
    </row>
    <row r="203" spans="1:10" x14ac:dyDescent="0.3">
      <c r="A203">
        <v>201</v>
      </c>
      <c r="B203" t="str">
        <f ca="1"/>
        <v>25R-A33-0002</v>
      </c>
      <c r="C203" t="str">
        <f ca="1"/>
        <v>Kurniawan Zulkarnain</v>
      </c>
      <c r="D203" t="str">
        <f ca="1"/>
        <v>L</v>
      </c>
      <c r="E203">
        <f ca="1"/>
        <v>2025</v>
      </c>
      <c r="F203" t="str">
        <f ca="1"/>
        <v>Ekonomi</v>
      </c>
      <c r="G203" t="str">
        <f ca="1"/>
        <v>Ekonomi Pembangunan</v>
      </c>
      <c r="H203">
        <f ca="1"/>
        <v>2</v>
      </c>
      <c r="I203" s="3">
        <f ca="1"/>
        <v>3.5104166666666665</v>
      </c>
      <c r="J203" t="str">
        <f ca="1"/>
        <v>B-</v>
      </c>
    </row>
    <row r="204" spans="1:10" x14ac:dyDescent="0.3">
      <c r="A204">
        <v>202</v>
      </c>
      <c r="B204" t="str">
        <f ca="1"/>
        <v>25R-A33-0004</v>
      </c>
      <c r="C204" t="str">
        <f ca="1"/>
        <v>Lukman Oktavianus</v>
      </c>
      <c r="D204" t="str">
        <f ca="1"/>
        <v>L</v>
      </c>
      <c r="E204">
        <f ca="1"/>
        <v>2025</v>
      </c>
      <c r="F204" t="str">
        <f ca="1"/>
        <v>Ekonomi</v>
      </c>
      <c r="G204" t="str">
        <f ca="1"/>
        <v>Ekonomi Pembangunan</v>
      </c>
      <c r="H204">
        <f ca="1"/>
        <v>2</v>
      </c>
      <c r="I204" s="3">
        <f ca="1"/>
        <v>3.5833333333333335</v>
      </c>
      <c r="J204" t="str">
        <f ca="1"/>
        <v>B</v>
      </c>
    </row>
    <row r="205" spans="1:10" x14ac:dyDescent="0.3">
      <c r="A205">
        <v>203</v>
      </c>
      <c r="B205" t="str">
        <f ca="1"/>
        <v>25R-A33-0008</v>
      </c>
      <c r="C205" t="str">
        <f ca="1"/>
        <v>Vina Nurdin</v>
      </c>
      <c r="D205" t="str">
        <f ca="1"/>
        <v>P</v>
      </c>
      <c r="E205">
        <f ca="1"/>
        <v>2025</v>
      </c>
      <c r="F205" t="str">
        <f ca="1"/>
        <v>Ekonomi</v>
      </c>
      <c r="G205" t="str">
        <f ca="1"/>
        <v>Ekonomi Pembangunan</v>
      </c>
      <c r="H205">
        <f ca="1"/>
        <v>2</v>
      </c>
      <c r="I205" s="3">
        <f ca="1"/>
        <v>3.3541666666666665</v>
      </c>
      <c r="J205" t="str">
        <f ca="1"/>
        <v>C</v>
      </c>
    </row>
    <row r="206" spans="1:10" x14ac:dyDescent="0.3">
      <c r="A206">
        <v>204</v>
      </c>
      <c r="B206" t="str">
        <f ca="1"/>
        <v>25R-A33-0011</v>
      </c>
      <c r="C206" t="str">
        <f ca="1"/>
        <v>Wulan Prasetyo</v>
      </c>
      <c r="D206" t="str">
        <f ca="1"/>
        <v>P</v>
      </c>
      <c r="E206">
        <f ca="1"/>
        <v>2025</v>
      </c>
      <c r="F206" t="str">
        <f ca="1"/>
        <v>Ekonomi</v>
      </c>
      <c r="G206" t="str">
        <f ca="1"/>
        <v>Ekonomi Pembangunan</v>
      </c>
      <c r="H206">
        <f ca="1"/>
        <v>2</v>
      </c>
      <c r="I206" s="3">
        <f ca="1"/>
        <v>3.0625</v>
      </c>
      <c r="J206" t="str">
        <f ca="1"/>
        <v>B-</v>
      </c>
    </row>
    <row r="207" spans="1:10" x14ac:dyDescent="0.3">
      <c r="A207">
        <v>205</v>
      </c>
      <c r="B207" t="str">
        <f ca="1"/>
        <v>25R-A33-0012</v>
      </c>
      <c r="C207" t="str">
        <f ca="1"/>
        <v>Oki Iskandar</v>
      </c>
      <c r="D207" t="str">
        <f ca="1"/>
        <v>L</v>
      </c>
      <c r="E207">
        <f ca="1"/>
        <v>2025</v>
      </c>
      <c r="F207" t="str">
        <f ca="1"/>
        <v>Ekonomi</v>
      </c>
      <c r="G207" t="str">
        <f ca="1"/>
        <v>Ekonomi Pembangunan</v>
      </c>
      <c r="H207">
        <f ca="1"/>
        <v>2</v>
      </c>
      <c r="I207" s="3">
        <f ca="1"/>
        <v>3.0416666666666665</v>
      </c>
      <c r="J207" t="str">
        <f ca="1"/>
        <v>C</v>
      </c>
    </row>
    <row r="208" spans="1:10" x14ac:dyDescent="0.3">
      <c r="A208">
        <v>206</v>
      </c>
      <c r="B208" t="str">
        <f ca="1"/>
        <v>25R-A33-0013</v>
      </c>
      <c r="C208" t="str">
        <f ca="1"/>
        <v>Arif Mardiana</v>
      </c>
      <c r="D208" t="str">
        <f ca="1"/>
        <v>L</v>
      </c>
      <c r="E208">
        <f ca="1"/>
        <v>2025</v>
      </c>
      <c r="F208" t="str">
        <f ca="1"/>
        <v>Ekonomi</v>
      </c>
      <c r="G208" t="str">
        <f ca="1"/>
        <v>Ekonomi Pembangunan</v>
      </c>
      <c r="H208">
        <f ca="1"/>
        <v>2</v>
      </c>
      <c r="I208" s="3">
        <f ca="1"/>
        <v>3.2708333333333335</v>
      </c>
      <c r="J208" t="str">
        <f ca="1"/>
        <v>C</v>
      </c>
    </row>
    <row r="209" spans="1:10" x14ac:dyDescent="0.3">
      <c r="A209">
        <v>207</v>
      </c>
      <c r="B209" t="str">
        <f ca="1"/>
        <v>25R-A33-0014</v>
      </c>
      <c r="C209" t="str">
        <f ca="1"/>
        <v>Irfan Rahman</v>
      </c>
      <c r="D209" t="str">
        <f ca="1"/>
        <v>L</v>
      </c>
      <c r="E209">
        <f ca="1"/>
        <v>2025</v>
      </c>
      <c r="F209" t="str">
        <f ca="1"/>
        <v>Ekonomi</v>
      </c>
      <c r="G209" t="str">
        <f ca="1"/>
        <v>Ekonomi Pembangunan</v>
      </c>
      <c r="H209">
        <f ca="1"/>
        <v>2</v>
      </c>
      <c r="I209" s="3">
        <f ca="1"/>
        <v>2.9270833333333335</v>
      </c>
      <c r="J209" t="str">
        <f ca="1"/>
        <v>C</v>
      </c>
    </row>
    <row r="210" spans="1:10" x14ac:dyDescent="0.3">
      <c r="A210">
        <v>208</v>
      </c>
      <c r="B210" t="str">
        <f ca="1"/>
        <v>25R-A33-0015</v>
      </c>
      <c r="C210" t="str">
        <f ca="1"/>
        <v>Wulan Irawan</v>
      </c>
      <c r="D210" t="str">
        <f ca="1"/>
        <v>P</v>
      </c>
      <c r="E210">
        <f ca="1"/>
        <v>2025</v>
      </c>
      <c r="F210" t="str">
        <f ca="1"/>
        <v>Ekonomi</v>
      </c>
      <c r="G210" t="str">
        <f ca="1"/>
        <v>Ekonomi Pembangunan</v>
      </c>
      <c r="H210">
        <f ca="1"/>
        <v>2</v>
      </c>
      <c r="I210" s="3">
        <f ca="1"/>
        <v>3.4166666666666665</v>
      </c>
      <c r="J210" t="str">
        <f ca="1"/>
        <v>C+</v>
      </c>
    </row>
    <row r="211" spans="1:10" x14ac:dyDescent="0.3">
      <c r="A211">
        <v>209</v>
      </c>
      <c r="B211" t="str">
        <f ca="1"/>
        <v>25R-A41-0001</v>
      </c>
      <c r="C211" t="str">
        <f ca="1"/>
        <v>Umar Santoso</v>
      </c>
      <c r="D211" t="str">
        <f ca="1"/>
        <v>L</v>
      </c>
      <c r="E211">
        <f ca="1"/>
        <v>2025</v>
      </c>
      <c r="F211" t="str">
        <f ca="1"/>
        <v>Pertanian</v>
      </c>
      <c r="G211" t="str">
        <f ca="1"/>
        <v>Agroteknologi</v>
      </c>
      <c r="H211">
        <f ca="1"/>
        <v>2</v>
      </c>
      <c r="I211" s="3">
        <f ca="1"/>
        <v>3.1458333333333335</v>
      </c>
      <c r="J211" t="str">
        <f ca="1"/>
        <v>C+</v>
      </c>
    </row>
    <row r="212" spans="1:10" x14ac:dyDescent="0.3">
      <c r="A212">
        <v>210</v>
      </c>
      <c r="B212" t="str">
        <f ca="1"/>
        <v>25R-A41-0002</v>
      </c>
      <c r="C212" t="str">
        <f ca="1"/>
        <v>Rina Setiawan</v>
      </c>
      <c r="D212" t="str">
        <f ca="1"/>
        <v>P</v>
      </c>
      <c r="E212">
        <f ca="1"/>
        <v>2025</v>
      </c>
      <c r="F212" t="str">
        <f ca="1"/>
        <v>Pertanian</v>
      </c>
      <c r="G212" t="str">
        <f ca="1"/>
        <v>Agroteknologi</v>
      </c>
      <c r="H212">
        <f ca="1"/>
        <v>2</v>
      </c>
      <c r="I212" s="3">
        <f ca="1"/>
        <v>3.6458333333333335</v>
      </c>
      <c r="J212" t="str">
        <f ca="1"/>
        <v>B</v>
      </c>
    </row>
    <row r="213" spans="1:10" x14ac:dyDescent="0.3">
      <c r="A213">
        <v>211</v>
      </c>
      <c r="B213" t="str">
        <f ca="1"/>
        <v>25R-A41-0003</v>
      </c>
      <c r="C213" t="str">
        <f ca="1"/>
        <v>Prita Wardani</v>
      </c>
      <c r="D213" t="str">
        <f ca="1"/>
        <v>P</v>
      </c>
      <c r="E213">
        <f ca="1"/>
        <v>2025</v>
      </c>
      <c r="F213" t="str">
        <f ca="1"/>
        <v>Pertanian</v>
      </c>
      <c r="G213" t="str">
        <f ca="1"/>
        <v>Agroteknologi</v>
      </c>
      <c r="H213">
        <f ca="1"/>
        <v>2</v>
      </c>
      <c r="I213" s="3">
        <f ca="1"/>
        <v>3.0625</v>
      </c>
      <c r="J213" t="str">
        <f ca="1"/>
        <v>C</v>
      </c>
    </row>
    <row r="214" spans="1:10" x14ac:dyDescent="0.3">
      <c r="A214">
        <v>212</v>
      </c>
      <c r="B214" t="str">
        <f ca="1"/>
        <v>25R-A41-0004</v>
      </c>
      <c r="C214" t="str">
        <f ca="1"/>
        <v>Vera Ramadhan</v>
      </c>
      <c r="D214" t="str">
        <f ca="1"/>
        <v>P</v>
      </c>
      <c r="E214">
        <f ca="1"/>
        <v>2025</v>
      </c>
      <c r="F214" t="str">
        <f ca="1"/>
        <v>Pertanian</v>
      </c>
      <c r="G214" t="str">
        <f ca="1"/>
        <v>Agroteknologi</v>
      </c>
      <c r="H214">
        <f ca="1"/>
        <v>2</v>
      </c>
      <c r="I214" s="3">
        <f ca="1"/>
        <v>3.4375</v>
      </c>
      <c r="J214" t="str">
        <f ca="1"/>
        <v>C+</v>
      </c>
    </row>
    <row r="215" spans="1:10" x14ac:dyDescent="0.3">
      <c r="A215">
        <v>213</v>
      </c>
      <c r="B215" t="str">
        <f ca="1"/>
        <v>25R-A41-0005</v>
      </c>
      <c r="C215" t="str">
        <f ca="1"/>
        <v>Yusuf Setiawan</v>
      </c>
      <c r="D215" t="str">
        <f ca="1"/>
        <v>L</v>
      </c>
      <c r="E215">
        <f ca="1"/>
        <v>2025</v>
      </c>
      <c r="F215" t="str">
        <f ca="1"/>
        <v>Pertanian</v>
      </c>
      <c r="G215" t="str">
        <f ca="1"/>
        <v>Agroteknologi</v>
      </c>
      <c r="H215">
        <f ca="1"/>
        <v>2</v>
      </c>
      <c r="I215" s="3">
        <f ca="1"/>
        <v>3.15625</v>
      </c>
      <c r="J215" t="str">
        <f ca="1"/>
        <v>C+</v>
      </c>
    </row>
    <row r="216" spans="1:10" x14ac:dyDescent="0.3">
      <c r="A216">
        <v>214</v>
      </c>
      <c r="B216" t="str">
        <f ca="1"/>
        <v>25R-A41-0007</v>
      </c>
      <c r="C216" t="str">
        <f ca="1"/>
        <v>Zahra Wijaya</v>
      </c>
      <c r="D216" t="str">
        <f ca="1"/>
        <v>P</v>
      </c>
      <c r="E216">
        <f ca="1"/>
        <v>2025</v>
      </c>
      <c r="F216" t="str">
        <f ca="1"/>
        <v>Pertanian</v>
      </c>
      <c r="G216" t="str">
        <f ca="1"/>
        <v>Agroteknologi</v>
      </c>
      <c r="H216">
        <f ca="1"/>
        <v>2</v>
      </c>
      <c r="I216" s="3">
        <f ca="1"/>
        <v>3</v>
      </c>
      <c r="J216" t="str">
        <f ca="1"/>
        <v>C</v>
      </c>
    </row>
    <row r="217" spans="1:10" x14ac:dyDescent="0.3">
      <c r="A217">
        <v>215</v>
      </c>
      <c r="B217" t="str">
        <f ca="1"/>
        <v>25R-A41-0008</v>
      </c>
      <c r="C217" t="str">
        <f ca="1"/>
        <v>Tuti Kusnadi</v>
      </c>
      <c r="D217" t="str">
        <f ca="1"/>
        <v>P</v>
      </c>
      <c r="E217">
        <f ca="1"/>
        <v>2025</v>
      </c>
      <c r="F217" t="str">
        <f ca="1"/>
        <v>Pertanian</v>
      </c>
      <c r="G217" t="str">
        <f ca="1"/>
        <v>Agroteknologi</v>
      </c>
      <c r="H217">
        <f ca="1"/>
        <v>2</v>
      </c>
      <c r="I217" s="3">
        <f ca="1"/>
        <v>3</v>
      </c>
      <c r="J217" t="str">
        <f ca="1"/>
        <v>C</v>
      </c>
    </row>
    <row r="218" spans="1:10" x14ac:dyDescent="0.3">
      <c r="A218">
        <v>216</v>
      </c>
      <c r="B218" t="str">
        <f ca="1"/>
        <v>25R-A41-0009</v>
      </c>
      <c r="C218" t="str">
        <f ca="1"/>
        <v>Dinda Maulana</v>
      </c>
      <c r="D218" t="str">
        <f ca="1"/>
        <v>P</v>
      </c>
      <c r="E218">
        <f ca="1"/>
        <v>2025</v>
      </c>
      <c r="F218" t="str">
        <f ca="1"/>
        <v>Pertanian</v>
      </c>
      <c r="G218" t="str">
        <f ca="1"/>
        <v>Agroteknologi</v>
      </c>
      <c r="H218">
        <f ca="1"/>
        <v>2</v>
      </c>
      <c r="I218" s="3">
        <f ca="1"/>
        <v>2.9583333333333335</v>
      </c>
      <c r="J218" t="str">
        <f ca="1"/>
        <v>C+</v>
      </c>
    </row>
    <row r="219" spans="1:10" x14ac:dyDescent="0.3">
      <c r="A219">
        <v>217</v>
      </c>
      <c r="B219" t="str">
        <f ca="1"/>
        <v>25R-A41-0010</v>
      </c>
      <c r="C219" t="str">
        <f ca="1"/>
        <v>Rian Oktavianus</v>
      </c>
      <c r="D219" t="str">
        <f ca="1"/>
        <v>L</v>
      </c>
      <c r="E219">
        <f ca="1"/>
        <v>2025</v>
      </c>
      <c r="F219" t="str">
        <f ca="1"/>
        <v>Pertanian</v>
      </c>
      <c r="G219" t="str">
        <f ca="1"/>
        <v>Agroteknologi</v>
      </c>
      <c r="H219">
        <f ca="1"/>
        <v>2</v>
      </c>
      <c r="I219" s="3">
        <f ca="1"/>
        <v>3.34375</v>
      </c>
      <c r="J219" t="str">
        <f ca="1"/>
        <v>C+</v>
      </c>
    </row>
    <row r="220" spans="1:10" x14ac:dyDescent="0.3">
      <c r="A220">
        <v>218</v>
      </c>
      <c r="B220" t="str">
        <f ca="1"/>
        <v>25R-A41-0011</v>
      </c>
      <c r="C220" t="str">
        <f ca="1"/>
        <v>Gilang Kusnadi</v>
      </c>
      <c r="D220" t="str">
        <f ca="1"/>
        <v>L</v>
      </c>
      <c r="E220">
        <f ca="1"/>
        <v>2025</v>
      </c>
      <c r="F220" t="str">
        <f ca="1"/>
        <v>Pertanian</v>
      </c>
      <c r="G220" t="str">
        <f ca="1"/>
        <v>Agroteknologi</v>
      </c>
      <c r="H220">
        <f ca="1"/>
        <v>2</v>
      </c>
      <c r="I220" s="3">
        <f ca="1"/>
        <v>3.03125</v>
      </c>
      <c r="J220" t="str">
        <f ca="1"/>
        <v>C+</v>
      </c>
    </row>
    <row r="221" spans="1:10" x14ac:dyDescent="0.3">
      <c r="A221">
        <v>219</v>
      </c>
      <c r="B221" t="str">
        <f ca="1"/>
        <v>25R-A41-0014</v>
      </c>
      <c r="C221" t="str">
        <f ca="1"/>
        <v>Tari Octaviani</v>
      </c>
      <c r="D221" t="str">
        <f ca="1"/>
        <v>P</v>
      </c>
      <c r="E221">
        <f ca="1"/>
        <v>2025</v>
      </c>
      <c r="F221" t="str">
        <f ca="1"/>
        <v>Pertanian</v>
      </c>
      <c r="G221" t="str">
        <f ca="1"/>
        <v>Agroteknologi</v>
      </c>
      <c r="H221">
        <f ca="1"/>
        <v>2</v>
      </c>
      <c r="I221" s="3">
        <f ca="1"/>
        <v>3.1041666666666665</v>
      </c>
      <c r="J221" t="str">
        <f ca="1"/>
        <v>C</v>
      </c>
    </row>
    <row r="222" spans="1:10" x14ac:dyDescent="0.3">
      <c r="A222">
        <v>220</v>
      </c>
      <c r="B222" t="str">
        <f ca="1"/>
        <v>25R-A41-0015</v>
      </c>
      <c r="C222" t="str">
        <f ca="1"/>
        <v>Indah Lubis</v>
      </c>
      <c r="D222" t="str">
        <f ca="1"/>
        <v>P</v>
      </c>
      <c r="E222">
        <f ca="1"/>
        <v>2025</v>
      </c>
      <c r="F222" t="str">
        <f ca="1"/>
        <v>Pertanian</v>
      </c>
      <c r="G222" t="str">
        <f ca="1"/>
        <v>Agroteknologi</v>
      </c>
      <c r="H222">
        <f ca="1"/>
        <v>2</v>
      </c>
      <c r="I222" s="3">
        <f ca="1"/>
        <v>3.4375</v>
      </c>
      <c r="J222" t="str">
        <f ca="1"/>
        <v>B</v>
      </c>
    </row>
    <row r="223" spans="1:10" x14ac:dyDescent="0.3">
      <c r="A223">
        <v>221</v>
      </c>
      <c r="B223" t="str">
        <f ca="1"/>
        <v>25R-A42-0001</v>
      </c>
      <c r="C223" t="str">
        <f ca="1"/>
        <v>Yoga Gunawan</v>
      </c>
      <c r="D223" t="str">
        <f ca="1"/>
        <v>L</v>
      </c>
      <c r="E223">
        <f ca="1"/>
        <v>2025</v>
      </c>
      <c r="F223" t="str">
        <f ca="1"/>
        <v>Pertanian</v>
      </c>
      <c r="G223" t="str">
        <f ca="1"/>
        <v>Agribisnis</v>
      </c>
      <c r="H223">
        <f ca="1"/>
        <v>2</v>
      </c>
      <c r="I223" s="3">
        <f ca="1"/>
        <v>3.1666666666666665</v>
      </c>
      <c r="J223" t="str">
        <f ca="1"/>
        <v>C</v>
      </c>
    </row>
    <row r="224" spans="1:10" x14ac:dyDescent="0.3">
      <c r="A224">
        <v>222</v>
      </c>
      <c r="B224" t="str">
        <f ca="1"/>
        <v>25R-A42-0002</v>
      </c>
      <c r="C224" t="str">
        <f ca="1"/>
        <v>Andi Nurdin</v>
      </c>
      <c r="D224" t="str">
        <f ca="1"/>
        <v>L</v>
      </c>
      <c r="E224">
        <f ca="1"/>
        <v>2025</v>
      </c>
      <c r="F224" t="str">
        <f ca="1"/>
        <v>Pertanian</v>
      </c>
      <c r="G224" t="str">
        <f ca="1"/>
        <v>Agribisnis</v>
      </c>
      <c r="H224">
        <f ca="1"/>
        <v>2</v>
      </c>
      <c r="I224" s="3">
        <f ca="1"/>
        <v>3.0625</v>
      </c>
      <c r="J224" t="str">
        <f ca="1"/>
        <v>C+</v>
      </c>
    </row>
    <row r="225" spans="1:10" x14ac:dyDescent="0.3">
      <c r="A225">
        <v>223</v>
      </c>
      <c r="B225" t="str">
        <f ca="1"/>
        <v>25R-A42-0004</v>
      </c>
      <c r="C225" t="str">
        <f ca="1"/>
        <v>Dedi Kurnia</v>
      </c>
      <c r="D225" t="str">
        <f ca="1"/>
        <v>L</v>
      </c>
      <c r="E225">
        <f ca="1"/>
        <v>2025</v>
      </c>
      <c r="F225" t="str">
        <f ca="1"/>
        <v>Pertanian</v>
      </c>
      <c r="G225" t="str">
        <f ca="1"/>
        <v>Agribisnis</v>
      </c>
      <c r="H225">
        <f ca="1"/>
        <v>2</v>
      </c>
      <c r="I225" s="3">
        <f ca="1"/>
        <v>2.9479166666666665</v>
      </c>
      <c r="J225" t="str">
        <f ca="1"/>
        <v>C</v>
      </c>
    </row>
    <row r="226" spans="1:10" x14ac:dyDescent="0.3">
      <c r="A226">
        <v>224</v>
      </c>
      <c r="B226" t="str">
        <f ca="1"/>
        <v>25R-A42-0005</v>
      </c>
      <c r="C226" t="str">
        <f ca="1"/>
        <v>Zaki Zulkarnain</v>
      </c>
      <c r="D226" t="str">
        <f ca="1"/>
        <v>L</v>
      </c>
      <c r="E226">
        <f ca="1"/>
        <v>2025</v>
      </c>
      <c r="F226" t="str">
        <f ca="1"/>
        <v>Pertanian</v>
      </c>
      <c r="G226" t="str">
        <f ca="1"/>
        <v>Agribisnis</v>
      </c>
      <c r="H226">
        <f ca="1"/>
        <v>2</v>
      </c>
      <c r="I226" s="3">
        <f ca="1"/>
        <v>3.1145833333333335</v>
      </c>
      <c r="J226" t="str">
        <f ca="1"/>
        <v>C</v>
      </c>
    </row>
    <row r="227" spans="1:10" x14ac:dyDescent="0.3">
      <c r="A227">
        <v>225</v>
      </c>
      <c r="B227" t="str">
        <f ca="1"/>
        <v>25R-A42-0007</v>
      </c>
      <c r="C227" t="str">
        <f ca="1"/>
        <v>Oscar Nugroho</v>
      </c>
      <c r="D227" t="str">
        <f ca="1"/>
        <v>L</v>
      </c>
      <c r="E227">
        <f ca="1"/>
        <v>2025</v>
      </c>
      <c r="F227" t="str">
        <f ca="1"/>
        <v>Pertanian</v>
      </c>
      <c r="G227" t="str">
        <f ca="1"/>
        <v>Agribisnis</v>
      </c>
      <c r="H227">
        <f ca="1"/>
        <v>2</v>
      </c>
      <c r="I227" s="3">
        <f ca="1"/>
        <v>3.3958333333333335</v>
      </c>
      <c r="J227" t="str">
        <f ca="1"/>
        <v>C+</v>
      </c>
    </row>
    <row r="228" spans="1:10" x14ac:dyDescent="0.3">
      <c r="A228">
        <v>226</v>
      </c>
      <c r="B228" t="str">
        <f ca="1"/>
        <v>25R-A42-0008</v>
      </c>
      <c r="C228" t="str">
        <f ca="1"/>
        <v>Farah Zulkarnain</v>
      </c>
      <c r="D228" t="str">
        <f ca="1"/>
        <v>P</v>
      </c>
      <c r="E228">
        <f ca="1"/>
        <v>2025</v>
      </c>
      <c r="F228" t="str">
        <f ca="1"/>
        <v>Pertanian</v>
      </c>
      <c r="G228" t="str">
        <f ca="1"/>
        <v>Agribisnis</v>
      </c>
      <c r="H228">
        <f ca="1"/>
        <v>2</v>
      </c>
      <c r="I228" s="3">
        <f ca="1"/>
        <v>3.1979166666666665</v>
      </c>
      <c r="J228" t="str">
        <f ca="1"/>
        <v>C</v>
      </c>
    </row>
    <row r="229" spans="1:10" x14ac:dyDescent="0.3">
      <c r="A229">
        <v>227</v>
      </c>
      <c r="B229" t="str">
        <f ca="1"/>
        <v>25R-A42-0010</v>
      </c>
      <c r="C229" t="str">
        <f ca="1"/>
        <v>Anisa Kusuma</v>
      </c>
      <c r="D229" t="str">
        <f ca="1"/>
        <v>P</v>
      </c>
      <c r="E229">
        <f ca="1"/>
        <v>2025</v>
      </c>
      <c r="F229" t="str">
        <f ca="1"/>
        <v>Pertanian</v>
      </c>
      <c r="G229" t="str">
        <f ca="1"/>
        <v>Agribisnis</v>
      </c>
      <c r="H229">
        <f ca="1"/>
        <v>2</v>
      </c>
      <c r="I229" s="3">
        <f ca="1"/>
        <v>3.375</v>
      </c>
      <c r="J229" t="str">
        <f ca="1"/>
        <v>C+</v>
      </c>
    </row>
    <row r="230" spans="1:10" x14ac:dyDescent="0.3">
      <c r="A230">
        <v>228</v>
      </c>
      <c r="B230" t="str">
        <f ca="1"/>
        <v>25R-A42-0012</v>
      </c>
      <c r="C230" t="str">
        <f ca="1"/>
        <v>Hendra Rahman</v>
      </c>
      <c r="D230" t="str">
        <f ca="1"/>
        <v>L</v>
      </c>
      <c r="E230">
        <f ca="1"/>
        <v>2025</v>
      </c>
      <c r="F230" t="str">
        <f ca="1"/>
        <v>Pertanian</v>
      </c>
      <c r="G230" t="str">
        <f ca="1"/>
        <v>Agribisnis</v>
      </c>
      <c r="H230">
        <f ca="1"/>
        <v>2</v>
      </c>
      <c r="I230" s="3">
        <f ca="1"/>
        <v>3.1666666666666665</v>
      </c>
      <c r="J230" t="str">
        <f ca="1"/>
        <v>C</v>
      </c>
    </row>
    <row r="231" spans="1:10" x14ac:dyDescent="0.3">
      <c r="A231">
        <v>229</v>
      </c>
      <c r="B231" t="str">
        <f ca="1"/>
        <v>25R-A42-0015</v>
      </c>
      <c r="C231" t="str">
        <f ca="1"/>
        <v>Hana Hidayat</v>
      </c>
      <c r="D231" t="str">
        <f ca="1"/>
        <v>P</v>
      </c>
      <c r="E231">
        <f ca="1"/>
        <v>2025</v>
      </c>
      <c r="F231" t="str">
        <f ca="1"/>
        <v>Pertanian</v>
      </c>
      <c r="G231" t="str">
        <f ca="1"/>
        <v>Agribisnis</v>
      </c>
      <c r="H231">
        <f ca="1"/>
        <v>2</v>
      </c>
      <c r="I231" s="3">
        <f ca="1"/>
        <v>3.2291666666666665</v>
      </c>
      <c r="J231" t="str">
        <f ca="1"/>
        <v>C+</v>
      </c>
    </row>
    <row r="232" spans="1:10" x14ac:dyDescent="0.3">
      <c r="A232">
        <v>230</v>
      </c>
      <c r="B232" t="str">
        <f ca="1"/>
        <v>25R-A42-0016</v>
      </c>
      <c r="C232" t="str">
        <f ca="1"/>
        <v>Lina Suryadi</v>
      </c>
      <c r="D232" t="str">
        <f ca="1"/>
        <v>P</v>
      </c>
      <c r="E232">
        <f ca="1"/>
        <v>2025</v>
      </c>
      <c r="F232" t="str">
        <f ca="1"/>
        <v>Pertanian</v>
      </c>
      <c r="G232" t="str">
        <f ca="1"/>
        <v>Agribisnis</v>
      </c>
      <c r="H232">
        <f ca="1"/>
        <v>2</v>
      </c>
      <c r="I232" s="3">
        <f ca="1"/>
        <v>3.2708333333333335</v>
      </c>
      <c r="J232" t="str">
        <f ca="1"/>
        <v>B-</v>
      </c>
    </row>
    <row r="233" spans="1:10" x14ac:dyDescent="0.3">
      <c r="A233">
        <v>231</v>
      </c>
      <c r="B233" t="str">
        <f ca="1"/>
        <v>25R-A51-0001</v>
      </c>
      <c r="C233" t="str">
        <f ca="1"/>
        <v>Kartika Zulkarnain</v>
      </c>
      <c r="D233" t="str">
        <f ca="1"/>
        <v>P</v>
      </c>
      <c r="E233">
        <f ca="1"/>
        <v>2025</v>
      </c>
      <c r="F233" t="str">
        <f ca="1"/>
        <v>Ilmu Sosial</v>
      </c>
      <c r="G233" t="str">
        <f ca="1"/>
        <v>Administrasi Publik</v>
      </c>
      <c r="H233">
        <f ca="1"/>
        <v>2</v>
      </c>
      <c r="I233" s="3">
        <f ca="1"/>
        <v>3.0416666666666665</v>
      </c>
      <c r="J233" t="str">
        <f ca="1"/>
        <v>C</v>
      </c>
    </row>
    <row r="234" spans="1:10" x14ac:dyDescent="0.3">
      <c r="A234">
        <v>232</v>
      </c>
      <c r="B234" t="str">
        <f ca="1"/>
        <v>25R-A51-0002</v>
      </c>
      <c r="C234" t="str">
        <f ca="1"/>
        <v>Dewi Pratama</v>
      </c>
      <c r="D234" t="str">
        <f ca="1"/>
        <v>P</v>
      </c>
      <c r="E234">
        <f ca="1"/>
        <v>2025</v>
      </c>
      <c r="F234" t="str">
        <f ca="1"/>
        <v>Ilmu Sosial</v>
      </c>
      <c r="G234" t="str">
        <f ca="1"/>
        <v>Administrasi Publik</v>
      </c>
      <c r="H234">
        <f ca="1"/>
        <v>2</v>
      </c>
      <c r="I234" s="3">
        <f ca="1"/>
        <v>3.4479166666666665</v>
      </c>
      <c r="J234" t="str">
        <f ca="1"/>
        <v>B</v>
      </c>
    </row>
    <row r="235" spans="1:10" x14ac:dyDescent="0.3">
      <c r="A235">
        <v>233</v>
      </c>
      <c r="B235" t="str">
        <f ca="1"/>
        <v>25R-A51-0004</v>
      </c>
      <c r="C235" t="str">
        <f ca="1"/>
        <v>Joko Firmansyah</v>
      </c>
      <c r="D235" t="str">
        <f ca="1"/>
        <v>L</v>
      </c>
      <c r="E235">
        <f ca="1"/>
        <v>2025</v>
      </c>
      <c r="F235" t="str">
        <f ca="1"/>
        <v>Ilmu Sosial</v>
      </c>
      <c r="G235" t="str">
        <f ca="1"/>
        <v>Administrasi Publik</v>
      </c>
      <c r="H235">
        <f ca="1"/>
        <v>2</v>
      </c>
      <c r="I235" s="3">
        <f ca="1"/>
        <v>3.125</v>
      </c>
      <c r="J235" t="str">
        <f ca="1"/>
        <v>C+</v>
      </c>
    </row>
    <row r="236" spans="1:10" x14ac:dyDescent="0.3">
      <c r="A236">
        <v>234</v>
      </c>
      <c r="B236" t="str">
        <f ca="1"/>
        <v>25R-A51-0005</v>
      </c>
      <c r="C236" t="str">
        <f ca="1"/>
        <v>Farah Iskandar</v>
      </c>
      <c r="D236" t="str">
        <f ca="1"/>
        <v>P</v>
      </c>
      <c r="E236">
        <f ca="1"/>
        <v>2025</v>
      </c>
      <c r="F236" t="str">
        <f ca="1"/>
        <v>Ilmu Sosial</v>
      </c>
      <c r="G236" t="str">
        <f ca="1"/>
        <v>Administrasi Publik</v>
      </c>
      <c r="H236">
        <f ca="1"/>
        <v>2</v>
      </c>
      <c r="I236" s="3">
        <f ca="1"/>
        <v>3.46875</v>
      </c>
      <c r="J236" t="str">
        <f ca="1"/>
        <v>C</v>
      </c>
    </row>
    <row r="237" spans="1:10" x14ac:dyDescent="0.3">
      <c r="A237">
        <v>235</v>
      </c>
      <c r="B237" t="str">
        <f ca="1"/>
        <v>25R-A51-0007</v>
      </c>
      <c r="C237" t="str">
        <f ca="1"/>
        <v>Ahmad Siregar</v>
      </c>
      <c r="D237" t="str">
        <f ca="1"/>
        <v>L</v>
      </c>
      <c r="E237">
        <f ca="1"/>
        <v>2025</v>
      </c>
      <c r="F237" t="str">
        <f ca="1"/>
        <v>Ilmu Sosial</v>
      </c>
      <c r="G237" t="str">
        <f ca="1"/>
        <v>Administrasi Publik</v>
      </c>
      <c r="H237">
        <f ca="1"/>
        <v>2</v>
      </c>
      <c r="I237" s="3">
        <f ca="1"/>
        <v>2.9791666666666665</v>
      </c>
      <c r="J237" t="str">
        <f ca="1"/>
        <v>C</v>
      </c>
    </row>
    <row r="238" spans="1:10" x14ac:dyDescent="0.3">
      <c r="A238">
        <v>236</v>
      </c>
      <c r="B238" t="str">
        <f ca="1"/>
        <v>25R-A51-0010</v>
      </c>
      <c r="C238" t="str">
        <f ca="1"/>
        <v>Candra Prasetyo</v>
      </c>
      <c r="D238" t="str">
        <f ca="1"/>
        <v>L</v>
      </c>
      <c r="E238">
        <f ca="1"/>
        <v>2025</v>
      </c>
      <c r="F238" t="str">
        <f ca="1"/>
        <v>Ilmu Sosial</v>
      </c>
      <c r="G238" t="str">
        <f ca="1"/>
        <v>Administrasi Publik</v>
      </c>
      <c r="H238">
        <f ca="1"/>
        <v>2</v>
      </c>
      <c r="I238" s="3">
        <f ca="1"/>
        <v>2.8645833333333335</v>
      </c>
      <c r="J238" t="str">
        <f ca="1"/>
        <v>C</v>
      </c>
    </row>
    <row r="239" spans="1:10" x14ac:dyDescent="0.3">
      <c r="A239">
        <v>237</v>
      </c>
      <c r="B239" t="str">
        <f ca="1"/>
        <v>25R-A51-0015</v>
      </c>
      <c r="C239" t="str">
        <f ca="1"/>
        <v>Zainal Wijaya</v>
      </c>
      <c r="D239" t="str">
        <f ca="1"/>
        <v>L</v>
      </c>
      <c r="E239">
        <f ca="1"/>
        <v>2025</v>
      </c>
      <c r="F239" t="str">
        <f ca="1"/>
        <v>Ilmu Sosial</v>
      </c>
      <c r="G239" t="str">
        <f ca="1"/>
        <v>Administrasi Publik</v>
      </c>
      <c r="H239">
        <f ca="1"/>
        <v>2</v>
      </c>
      <c r="I239" s="3">
        <f ca="1"/>
        <v>2.9375</v>
      </c>
      <c r="J239" t="str">
        <f ca="1"/>
        <v>C</v>
      </c>
    </row>
    <row r="240" spans="1:10" x14ac:dyDescent="0.3">
      <c r="A240">
        <v>238</v>
      </c>
      <c r="B240" t="str">
        <f ca="1"/>
        <v>25R-A51-0017</v>
      </c>
      <c r="C240" t="str">
        <f ca="1"/>
        <v>Rafi Octaviani</v>
      </c>
      <c r="D240" t="str">
        <f ca="1"/>
        <v>L</v>
      </c>
      <c r="E240">
        <f ca="1"/>
        <v>2025</v>
      </c>
      <c r="F240" t="str">
        <f ca="1"/>
        <v>Ilmu Sosial</v>
      </c>
      <c r="G240" t="str">
        <f ca="1"/>
        <v>Administrasi Publik</v>
      </c>
      <c r="H240">
        <f ca="1"/>
        <v>2</v>
      </c>
      <c r="I240" s="3">
        <f ca="1"/>
        <v>3.3541666666666665</v>
      </c>
      <c r="J240" t="str">
        <f ca="1"/>
        <v>C+</v>
      </c>
    </row>
    <row r="241" spans="1:10" x14ac:dyDescent="0.3">
      <c r="A241">
        <v>239</v>
      </c>
      <c r="B241" t="str">
        <f ca="1"/>
        <v>25R-A51-0018</v>
      </c>
      <c r="C241" t="str">
        <f ca="1"/>
        <v>Tari Nugroho</v>
      </c>
      <c r="D241" t="str">
        <f ca="1"/>
        <v>P</v>
      </c>
      <c r="E241">
        <f ca="1"/>
        <v>2025</v>
      </c>
      <c r="F241" t="str">
        <f ca="1"/>
        <v>Ilmu Sosial</v>
      </c>
      <c r="G241" t="str">
        <f ca="1"/>
        <v>Administrasi Publik</v>
      </c>
      <c r="H241">
        <f ca="1"/>
        <v>2</v>
      </c>
      <c r="I241" s="3">
        <f ca="1"/>
        <v>3.0833333333333335</v>
      </c>
      <c r="J241" t="str">
        <f ca="1"/>
        <v>C+</v>
      </c>
    </row>
    <row r="242" spans="1:10" x14ac:dyDescent="0.3">
      <c r="A242">
        <v>240</v>
      </c>
      <c r="B242" t="str">
        <f ca="1"/>
        <v>25R-A51-0019</v>
      </c>
      <c r="C242" t="str">
        <f ca="1"/>
        <v>Bambang Saputra</v>
      </c>
      <c r="D242" t="str">
        <f ca="1"/>
        <v>L</v>
      </c>
      <c r="E242">
        <f ca="1"/>
        <v>2025</v>
      </c>
      <c r="F242" t="str">
        <f ca="1"/>
        <v>Ilmu Sosial</v>
      </c>
      <c r="G242" t="str">
        <f ca="1"/>
        <v>Administrasi Publik</v>
      </c>
      <c r="H242">
        <f ca="1"/>
        <v>2</v>
      </c>
      <c r="I242" s="3">
        <f ca="1"/>
        <v>3.2083333333333335</v>
      </c>
      <c r="J242" t="str">
        <f ca="1"/>
        <v>C+</v>
      </c>
    </row>
    <row r="243" spans="1:10" x14ac:dyDescent="0.3">
      <c r="A243">
        <v>241</v>
      </c>
      <c r="B243" t="str">
        <f ca="1"/>
        <v>25R-A52-0003</v>
      </c>
      <c r="C243" t="str">
        <f ca="1"/>
        <v>Hadi Iskandar</v>
      </c>
      <c r="D243" t="str">
        <f ca="1"/>
        <v>L</v>
      </c>
      <c r="E243">
        <f ca="1"/>
        <v>2025</v>
      </c>
      <c r="F243" t="str">
        <f ca="1"/>
        <v>Ilmu Sosial</v>
      </c>
      <c r="G243" t="str">
        <f ca="1"/>
        <v xml:space="preserve"> Ilmu Komunikasi</v>
      </c>
      <c r="H243">
        <f ca="1"/>
        <v>2</v>
      </c>
      <c r="I243" s="3">
        <f ca="1"/>
        <v>3</v>
      </c>
      <c r="J243" t="str">
        <f ca="1"/>
        <v>C</v>
      </c>
    </row>
    <row r="244" spans="1:10" x14ac:dyDescent="0.3">
      <c r="A244">
        <v>242</v>
      </c>
      <c r="B244" t="str">
        <f ca="1"/>
        <v>25R-A52-0005</v>
      </c>
      <c r="C244" t="str">
        <f ca="1"/>
        <v>Fitri Kurnia</v>
      </c>
      <c r="D244" t="str">
        <f ca="1"/>
        <v>P</v>
      </c>
      <c r="E244">
        <f ca="1"/>
        <v>2025</v>
      </c>
      <c r="F244" t="str">
        <f ca="1"/>
        <v>Ilmu Sosial</v>
      </c>
      <c r="G244" t="str">
        <f ca="1"/>
        <v xml:space="preserve"> Ilmu Komunikasi</v>
      </c>
      <c r="H244">
        <f ca="1"/>
        <v>2</v>
      </c>
      <c r="I244" s="3">
        <f ca="1"/>
        <v>2.9375</v>
      </c>
      <c r="J244" t="str">
        <f ca="1"/>
        <v>C</v>
      </c>
    </row>
    <row r="245" spans="1:10" x14ac:dyDescent="0.3">
      <c r="A245">
        <v>243</v>
      </c>
      <c r="B245" t="str">
        <f ca="1"/>
        <v>25R-A52-0008</v>
      </c>
      <c r="C245" t="str">
        <f ca="1"/>
        <v>Budi Tanjung</v>
      </c>
      <c r="D245" t="str">
        <f ca="1"/>
        <v>L</v>
      </c>
      <c r="E245">
        <f ca="1"/>
        <v>2025</v>
      </c>
      <c r="F245" t="str">
        <f ca="1"/>
        <v>Ilmu Sosial</v>
      </c>
      <c r="G245" t="str">
        <f ca="1"/>
        <v xml:space="preserve"> Ilmu Komunikasi</v>
      </c>
      <c r="H245">
        <f ca="1"/>
        <v>2</v>
      </c>
      <c r="I245" s="3">
        <f ca="1"/>
        <v>3.40625</v>
      </c>
      <c r="J245" t="str">
        <f ca="1"/>
        <v>B-</v>
      </c>
    </row>
    <row r="246" spans="1:10" x14ac:dyDescent="0.3">
      <c r="A246">
        <v>244</v>
      </c>
      <c r="B246" t="str">
        <f ca="1"/>
        <v>25R-A52-0011</v>
      </c>
      <c r="C246" t="str">
        <f ca="1"/>
        <v>Naufal Oktavianus</v>
      </c>
      <c r="D246" t="str">
        <f ca="1"/>
        <v>L</v>
      </c>
      <c r="E246">
        <f ca="1"/>
        <v>2025</v>
      </c>
      <c r="F246" t="str">
        <f ca="1"/>
        <v>Ilmu Sosial</v>
      </c>
      <c r="G246" t="str">
        <f ca="1"/>
        <v xml:space="preserve"> Ilmu Komunikasi</v>
      </c>
      <c r="H246">
        <f ca="1"/>
        <v>2</v>
      </c>
      <c r="I246" s="3">
        <f ca="1"/>
        <v>3.15625</v>
      </c>
      <c r="J246" t="str">
        <f ca="1"/>
        <v>C</v>
      </c>
    </row>
    <row r="247" spans="1:10" x14ac:dyDescent="0.3">
      <c r="A247">
        <v>245</v>
      </c>
      <c r="B247" t="str">
        <f ca="1"/>
        <v>25R-A52-0015</v>
      </c>
      <c r="C247" t="str">
        <f ca="1"/>
        <v>Joko Prasetyo</v>
      </c>
      <c r="D247" t="str">
        <f ca="1"/>
        <v>L</v>
      </c>
      <c r="E247">
        <f ca="1"/>
        <v>2025</v>
      </c>
      <c r="F247" t="str">
        <f ca="1"/>
        <v>Ilmu Sosial</v>
      </c>
      <c r="G247" t="str">
        <f ca="1"/>
        <v xml:space="preserve"> Ilmu Komunikasi</v>
      </c>
      <c r="H247">
        <f ca="1"/>
        <v>2</v>
      </c>
      <c r="I247" s="3">
        <f ca="1"/>
        <v>3.2083333333333335</v>
      </c>
      <c r="J247" t="str">
        <f ca="1"/>
        <v>C+</v>
      </c>
    </row>
    <row r="248" spans="1:10" x14ac:dyDescent="0.3">
      <c r="A248">
        <v>246</v>
      </c>
      <c r="B248" t="str">
        <f ca="1"/>
        <v>25R-A52-0016</v>
      </c>
      <c r="C248" t="str">
        <f ca="1"/>
        <v>Farah Hakim</v>
      </c>
      <c r="D248" t="str">
        <f ca="1"/>
        <v>P</v>
      </c>
      <c r="E248">
        <f ca="1"/>
        <v>2025</v>
      </c>
      <c r="F248" t="str">
        <f ca="1"/>
        <v>Ilmu Sosial</v>
      </c>
      <c r="G248" t="str">
        <f ca="1"/>
        <v xml:space="preserve"> Ilmu Komunikasi</v>
      </c>
      <c r="H248">
        <f ca="1"/>
        <v>2</v>
      </c>
      <c r="I248" s="3">
        <f ca="1"/>
        <v>3.15625</v>
      </c>
      <c r="J248" t="str">
        <f ca="1"/>
        <v>C</v>
      </c>
    </row>
    <row r="249" spans="1:10" x14ac:dyDescent="0.3">
      <c r="A249">
        <v>247</v>
      </c>
      <c r="B249" t="str">
        <f ca="1"/>
        <v>25R-A53-0002</v>
      </c>
      <c r="C249" t="str">
        <f ca="1"/>
        <v>Agus Nugroho</v>
      </c>
      <c r="D249" t="str">
        <f ca="1"/>
        <v>L</v>
      </c>
      <c r="E249">
        <f ca="1"/>
        <v>2025</v>
      </c>
      <c r="F249" t="str">
        <f ca="1"/>
        <v>Ilmu Sosial</v>
      </c>
      <c r="G249" t="str">
        <f ca="1"/>
        <v>Sosiologi</v>
      </c>
      <c r="H249">
        <f ca="1"/>
        <v>2</v>
      </c>
      <c r="I249" s="3">
        <f ca="1"/>
        <v>3.28125</v>
      </c>
      <c r="J249" t="str">
        <f ca="1"/>
        <v>C</v>
      </c>
    </row>
    <row r="250" spans="1:10" x14ac:dyDescent="0.3">
      <c r="A250">
        <v>248</v>
      </c>
      <c r="B250" t="str">
        <f ca="1"/>
        <v>25R-A53-0003</v>
      </c>
      <c r="C250" t="str">
        <f ca="1"/>
        <v>Kartika Ramadhan</v>
      </c>
      <c r="D250" t="str">
        <f ca="1"/>
        <v>P</v>
      </c>
      <c r="E250">
        <f ca="1"/>
        <v>2025</v>
      </c>
      <c r="F250" t="str">
        <f ca="1"/>
        <v>Ilmu Sosial</v>
      </c>
      <c r="G250" t="str">
        <f ca="1"/>
        <v>Sosiologi</v>
      </c>
      <c r="H250">
        <f ca="1"/>
        <v>2</v>
      </c>
      <c r="I250" s="3">
        <f ca="1"/>
        <v>3.0520833333333335</v>
      </c>
      <c r="J250" t="str">
        <f ca="1"/>
        <v>C+</v>
      </c>
    </row>
    <row r="251" spans="1:10" x14ac:dyDescent="0.3">
      <c r="A251">
        <v>249</v>
      </c>
      <c r="B251" t="str">
        <f ca="1"/>
        <v>25R-A53-0005</v>
      </c>
      <c r="C251" t="str">
        <f ca="1"/>
        <v>Sinta Prasetyo</v>
      </c>
      <c r="D251" t="str">
        <f ca="1"/>
        <v>P</v>
      </c>
      <c r="E251">
        <f ca="1"/>
        <v>2025</v>
      </c>
      <c r="F251" t="str">
        <f ca="1"/>
        <v>Ilmu Sosial</v>
      </c>
      <c r="G251" t="str">
        <f ca="1"/>
        <v>Sosiologi</v>
      </c>
      <c r="H251">
        <f ca="1"/>
        <v>2</v>
      </c>
      <c r="I251" s="3">
        <f ca="1"/>
        <v>3.1666666666666665</v>
      </c>
      <c r="J251" t="str">
        <f ca="1"/>
        <v>C+</v>
      </c>
    </row>
    <row r="252" spans="1:10" x14ac:dyDescent="0.3">
      <c r="A252">
        <v>250</v>
      </c>
      <c r="B252" t="str">
        <f ca="1"/>
        <v>25R-A53-0007</v>
      </c>
      <c r="C252" t="str">
        <f ca="1"/>
        <v>Prita Nasution</v>
      </c>
      <c r="D252" t="str">
        <f ca="1"/>
        <v>P</v>
      </c>
      <c r="E252">
        <f ca="1"/>
        <v>2025</v>
      </c>
      <c r="F252" t="str">
        <f ca="1"/>
        <v>Ilmu Sosial</v>
      </c>
      <c r="G252" t="str">
        <f ca="1"/>
        <v>Sosiologi</v>
      </c>
      <c r="H252">
        <f ca="1"/>
        <v>2</v>
      </c>
      <c r="I252" s="3">
        <f ca="1"/>
        <v>3.4791666666666665</v>
      </c>
      <c r="J252" t="str">
        <f ca="1"/>
        <v>C+</v>
      </c>
    </row>
    <row r="253" spans="1:10" x14ac:dyDescent="0.3">
      <c r="A253">
        <v>251</v>
      </c>
      <c r="B253" t="str">
        <f ca="1"/>
        <v>25R-A53-0008</v>
      </c>
      <c r="C253" t="str">
        <f ca="1"/>
        <v>Yana Yulianto</v>
      </c>
      <c r="D253" t="str">
        <f ca="1"/>
        <v>P</v>
      </c>
      <c r="E253">
        <f ca="1"/>
        <v>2025</v>
      </c>
      <c r="F253" t="str">
        <f ca="1"/>
        <v>Ilmu Sosial</v>
      </c>
      <c r="G253" t="str">
        <f ca="1"/>
        <v>Sosiologi</v>
      </c>
      <c r="H253">
        <f ca="1"/>
        <v>2</v>
      </c>
      <c r="I253" s="3">
        <f ca="1"/>
        <v>3.4791666666666665</v>
      </c>
      <c r="J253" t="str">
        <f ca="1"/>
        <v>C+</v>
      </c>
    </row>
    <row r="254" spans="1:10" x14ac:dyDescent="0.3">
      <c r="A254">
        <v>252</v>
      </c>
      <c r="B254" t="str">
        <f ca="1"/>
        <v>25R-A53-0009</v>
      </c>
      <c r="C254" t="str">
        <f ca="1"/>
        <v>Dinda Prasetyo</v>
      </c>
      <c r="D254" t="str">
        <f ca="1"/>
        <v>P</v>
      </c>
      <c r="E254">
        <f ca="1"/>
        <v>2025</v>
      </c>
      <c r="F254" t="str">
        <f ca="1"/>
        <v>Ilmu Sosial</v>
      </c>
      <c r="G254" t="str">
        <f ca="1"/>
        <v>Sosiologi</v>
      </c>
      <c r="H254">
        <f ca="1"/>
        <v>2</v>
      </c>
      <c r="I254" s="3">
        <f ca="1"/>
        <v>3.15625</v>
      </c>
      <c r="J254" t="str">
        <f ca="1"/>
        <v>C+</v>
      </c>
    </row>
    <row r="255" spans="1:10" x14ac:dyDescent="0.3">
      <c r="A255">
        <v>253</v>
      </c>
      <c r="B255" t="str">
        <f ca="1"/>
        <v>25R-A53-0010</v>
      </c>
      <c r="C255" t="str">
        <f ca="1"/>
        <v>Candra Nurdin</v>
      </c>
      <c r="D255" t="str">
        <f ca="1"/>
        <v>L</v>
      </c>
      <c r="E255">
        <f ca="1"/>
        <v>2025</v>
      </c>
      <c r="F255" t="str">
        <f ca="1"/>
        <v>Ilmu Sosial</v>
      </c>
      <c r="G255" t="str">
        <f ca="1"/>
        <v>Sosiologi</v>
      </c>
      <c r="H255">
        <f ca="1"/>
        <v>2</v>
      </c>
      <c r="I255" s="3">
        <f ca="1"/>
        <v>3.25</v>
      </c>
      <c r="J255" t="str">
        <f ca="1"/>
        <v>C+</v>
      </c>
    </row>
    <row r="256" spans="1:10" x14ac:dyDescent="0.3">
      <c r="A256">
        <v>254</v>
      </c>
      <c r="B256" t="str">
        <f ca="1"/>
        <v>25R-A53-0011</v>
      </c>
      <c r="C256" t="str">
        <f ca="1"/>
        <v>Diah Wibowo</v>
      </c>
      <c r="D256" t="str">
        <f ca="1"/>
        <v>P</v>
      </c>
      <c r="E256">
        <f ca="1"/>
        <v>2025</v>
      </c>
      <c r="F256" t="str">
        <f ca="1"/>
        <v>Ilmu Sosial</v>
      </c>
      <c r="G256" t="str">
        <f ca="1"/>
        <v>Sosiologi</v>
      </c>
      <c r="H256">
        <f ca="1"/>
        <v>2</v>
      </c>
      <c r="I256" s="3">
        <f ca="1"/>
        <v>2.90625</v>
      </c>
      <c r="J256" t="str">
        <f ca="1"/>
        <v>C</v>
      </c>
    </row>
    <row r="257" spans="1:10" x14ac:dyDescent="0.3">
      <c r="A257">
        <v>255</v>
      </c>
      <c r="B257" t="str">
        <f ca="1"/>
        <v>25R-A53-0013</v>
      </c>
      <c r="C257" t="str">
        <f ca="1"/>
        <v>Sari Iskandar</v>
      </c>
      <c r="D257" t="str">
        <f ca="1"/>
        <v>P</v>
      </c>
      <c r="E257">
        <f ca="1"/>
        <v>2025</v>
      </c>
      <c r="F257" t="str">
        <f ca="1"/>
        <v>Ilmu Sosial</v>
      </c>
      <c r="G257" t="str">
        <f ca="1"/>
        <v>Sosiologi</v>
      </c>
      <c r="H257">
        <f ca="1"/>
        <v>2</v>
      </c>
      <c r="I257" s="3">
        <f ca="1"/>
        <v>3.2291666666666665</v>
      </c>
      <c r="J257" t="str">
        <f ca="1"/>
        <v>B-</v>
      </c>
    </row>
    <row r="258" spans="1:10" x14ac:dyDescent="0.3">
      <c r="A258">
        <v>256</v>
      </c>
      <c r="B258" t="str">
        <f ca="1"/>
        <v>25R-A53-0014</v>
      </c>
      <c r="C258" t="str">
        <f ca="1"/>
        <v>Intan Irawan</v>
      </c>
      <c r="D258" t="str">
        <f ca="1"/>
        <v>P</v>
      </c>
      <c r="E258">
        <f ca="1"/>
        <v>2025</v>
      </c>
      <c r="F258" t="str">
        <f ca="1"/>
        <v>Ilmu Sosial</v>
      </c>
      <c r="G258" t="str">
        <f ca="1"/>
        <v>Sosiologi</v>
      </c>
      <c r="H258">
        <f ca="1"/>
        <v>2</v>
      </c>
      <c r="I258" s="3">
        <f ca="1"/>
        <v>3.40625</v>
      </c>
      <c r="J258" t="str">
        <f ca="1"/>
        <v>B-</v>
      </c>
    </row>
    <row r="259" spans="1:10" x14ac:dyDescent="0.3">
      <c r="A259">
        <v>257</v>
      </c>
      <c r="B259" t="str">
        <f ca="1"/>
        <v>25R-A53-0016</v>
      </c>
      <c r="C259" t="str">
        <f ca="1"/>
        <v>Eko Rahman</v>
      </c>
      <c r="D259" t="str">
        <f ca="1"/>
        <v>L</v>
      </c>
      <c r="E259">
        <f ca="1"/>
        <v>2025</v>
      </c>
      <c r="F259" t="str">
        <f ca="1"/>
        <v>Ilmu Sosial</v>
      </c>
      <c r="G259" t="str">
        <f ca="1"/>
        <v>Sosiologi</v>
      </c>
      <c r="H259">
        <f ca="1"/>
        <v>2</v>
      </c>
      <c r="I259" s="3">
        <f ca="1"/>
        <v>3.3854166666666665</v>
      </c>
      <c r="J259" t="str">
        <f ca="1"/>
        <v>C</v>
      </c>
    </row>
    <row r="260" spans="1:10" x14ac:dyDescent="0.3">
      <c r="A260">
        <v>258</v>
      </c>
      <c r="B260" t="str">
        <f ca="1"/>
        <v>25R-A53-0019</v>
      </c>
      <c r="C260" t="str">
        <f ca="1"/>
        <v>Sandi Lesmana</v>
      </c>
      <c r="D260" t="str">
        <f ca="1"/>
        <v>L</v>
      </c>
      <c r="E260">
        <f ca="1"/>
        <v>2025</v>
      </c>
      <c r="F260" t="str">
        <f ca="1"/>
        <v>Ilmu Sosial</v>
      </c>
      <c r="G260" t="str">
        <f ca="1"/>
        <v>Sosiologi</v>
      </c>
      <c r="H260">
        <f ca="1"/>
        <v>2</v>
      </c>
      <c r="I260" s="3">
        <f ca="1"/>
        <v>2.8541666666666665</v>
      </c>
      <c r="J260" t="str">
        <f ca="1"/>
        <v>C</v>
      </c>
    </row>
    <row r="261" spans="1:10" x14ac:dyDescent="0.3">
      <c r="A261">
        <v>259</v>
      </c>
      <c r="B261" t="str">
        <f ca="1"/>
        <v>25R-A53-0021</v>
      </c>
      <c r="C261" t="str">
        <f ca="1"/>
        <v>Wisnu Oktavianus</v>
      </c>
      <c r="D261" t="str">
        <f ca="1"/>
        <v>L</v>
      </c>
      <c r="E261">
        <f ca="1"/>
        <v>2025</v>
      </c>
      <c r="F261" t="str">
        <f ca="1"/>
        <v>Ilmu Sosial</v>
      </c>
      <c r="G261" t="str">
        <f ca="1"/>
        <v>Sosiologi</v>
      </c>
      <c r="H261">
        <f ca="1"/>
        <v>2</v>
      </c>
      <c r="I261" s="3">
        <f ca="1"/>
        <v>3.1979166666666665</v>
      </c>
      <c r="J261" t="str">
        <f ca="1"/>
        <v>C+</v>
      </c>
    </row>
    <row r="262" spans="1:10" x14ac:dyDescent="0.3">
      <c r="A262">
        <v>260</v>
      </c>
      <c r="B262" t="str">
        <f ca="1"/>
        <v>25R-A53-0022</v>
      </c>
      <c r="C262" t="str">
        <f ca="1"/>
        <v>Wahyu Rahman</v>
      </c>
      <c r="D262" t="str">
        <f ca="1"/>
        <v>L</v>
      </c>
      <c r="E262">
        <f ca="1"/>
        <v>2025</v>
      </c>
      <c r="F262" t="str">
        <f ca="1"/>
        <v>Ilmu Sosial</v>
      </c>
      <c r="G262" t="str">
        <f ca="1"/>
        <v>Sosiologi</v>
      </c>
      <c r="H262">
        <f ca="1"/>
        <v>2</v>
      </c>
      <c r="I262" s="3">
        <f ca="1"/>
        <v>3.1041666666666665</v>
      </c>
      <c r="J262" t="str">
        <f ca="1"/>
        <v>C</v>
      </c>
    </row>
    <row r="263" spans="1:10" x14ac:dyDescent="0.3">
      <c r="A263">
        <v>261</v>
      </c>
      <c r="B263" t="str">
        <f ca="1"/>
        <v>25R-A53-0023</v>
      </c>
      <c r="C263" t="str">
        <f ca="1"/>
        <v>Wahyu Yulianto</v>
      </c>
      <c r="D263" t="str">
        <f ca="1"/>
        <v>L</v>
      </c>
      <c r="E263">
        <f ca="1"/>
        <v>2025</v>
      </c>
      <c r="F263" t="str">
        <f ca="1"/>
        <v>Ilmu Sosial</v>
      </c>
      <c r="G263" t="str">
        <f ca="1"/>
        <v>Sosiologi</v>
      </c>
      <c r="H263">
        <f ca="1"/>
        <v>2</v>
      </c>
      <c r="I263" s="3">
        <f ca="1"/>
        <v>3.3229166666666665</v>
      </c>
      <c r="J263" t="str">
        <f ca="1"/>
        <v>C</v>
      </c>
    </row>
    <row r="264" spans="1:10" x14ac:dyDescent="0.3">
      <c r="A264">
        <v>262</v>
      </c>
      <c r="B264" t="str">
        <f ca="1"/>
        <v>25R-A53-0024</v>
      </c>
      <c r="C264" t="str">
        <f ca="1"/>
        <v>Siti Oktavianus</v>
      </c>
      <c r="D264" t="str">
        <f ca="1"/>
        <v>P</v>
      </c>
      <c r="E264">
        <f ca="1"/>
        <v>2025</v>
      </c>
      <c r="F264" t="str">
        <f ca="1"/>
        <v>Ilmu Sosial</v>
      </c>
      <c r="G264" t="str">
        <f ca="1"/>
        <v>Sosiologi</v>
      </c>
      <c r="H264">
        <f ca="1"/>
        <v>2</v>
      </c>
      <c r="I264" s="3">
        <f ca="1"/>
        <v>3.1458333333333335</v>
      </c>
      <c r="J264" t="str">
        <f ca="1"/>
        <v>C</v>
      </c>
    </row>
    <row r="265" spans="1:10" x14ac:dyDescent="0.3">
      <c r="A265">
        <v>263</v>
      </c>
      <c r="B265" t="str">
        <f ca="1"/>
        <v>25R-A53-0025</v>
      </c>
      <c r="C265" t="str">
        <f ca="1"/>
        <v>Nurul Siregar</v>
      </c>
      <c r="D265" t="str">
        <f ca="1"/>
        <v>P</v>
      </c>
      <c r="E265">
        <f ca="1"/>
        <v>2025</v>
      </c>
      <c r="F265" t="str">
        <f ca="1"/>
        <v>Ilmu Sosial</v>
      </c>
      <c r="G265" t="str">
        <f ca="1"/>
        <v>Sosiologi</v>
      </c>
      <c r="H265">
        <f ca="1"/>
        <v>2</v>
      </c>
      <c r="I265" s="3">
        <f ca="1"/>
        <v>3.2291666666666665</v>
      </c>
      <c r="J265" t="str">
        <f ca="1"/>
        <v>B-</v>
      </c>
    </row>
    <row r="266" spans="1:10" x14ac:dyDescent="0.3">
      <c r="A266">
        <v>264</v>
      </c>
      <c r="B266" t="str">
        <f ca="1"/>
        <v>25R-A53-0026</v>
      </c>
      <c r="C266" t="str">
        <f ca="1"/>
        <v>Agus Lesmana</v>
      </c>
      <c r="D266" t="str">
        <f ca="1"/>
        <v>L</v>
      </c>
      <c r="E266">
        <f ca="1"/>
        <v>2025</v>
      </c>
      <c r="F266" t="str">
        <f ca="1"/>
        <v>Ilmu Sosial</v>
      </c>
      <c r="G266" t="str">
        <f ca="1"/>
        <v>Sosiologi</v>
      </c>
      <c r="H266">
        <f ca="1"/>
        <v>2</v>
      </c>
      <c r="I266" s="3">
        <f ca="1"/>
        <v>2.8854166666666665</v>
      </c>
      <c r="J266" t="str">
        <f ca="1"/>
        <v>C</v>
      </c>
    </row>
    <row r="267" spans="1:10" x14ac:dyDescent="0.3">
      <c r="A267">
        <v>265</v>
      </c>
      <c r="B267" t="str">
        <f ca="1"/>
        <v>25T-A11-0003</v>
      </c>
      <c r="C267" t="str">
        <f ca="1"/>
        <v>Hendra Zulkarnain</v>
      </c>
      <c r="D267" t="str">
        <f ca="1"/>
        <v>L</v>
      </c>
      <c r="E267">
        <f ca="1"/>
        <v>2025</v>
      </c>
      <c r="F267" t="str">
        <f ca="1"/>
        <v>Sains</v>
      </c>
      <c r="G267" t="str">
        <f ca="1"/>
        <v>Matematika</v>
      </c>
      <c r="H267">
        <f ca="1"/>
        <v>2</v>
      </c>
      <c r="I267" s="3">
        <f ca="1"/>
        <v>2.9375</v>
      </c>
      <c r="J267" t="str">
        <f ca="1"/>
        <v>C</v>
      </c>
    </row>
    <row r="268" spans="1:10" x14ac:dyDescent="0.3">
      <c r="A268">
        <v>266</v>
      </c>
      <c r="B268" t="str">
        <f ca="1"/>
        <v>25T-A11-0004</v>
      </c>
      <c r="C268" t="str">
        <f ca="1"/>
        <v>Erwin Yusnita</v>
      </c>
      <c r="D268" t="str">
        <f ca="1"/>
        <v>L</v>
      </c>
      <c r="E268">
        <f ca="1"/>
        <v>2025</v>
      </c>
      <c r="F268" t="str">
        <f ca="1"/>
        <v>Sains</v>
      </c>
      <c r="G268" t="str">
        <f ca="1"/>
        <v>Matematika</v>
      </c>
      <c r="H268">
        <f ca="1"/>
        <v>2</v>
      </c>
      <c r="I268" s="3">
        <f ca="1"/>
        <v>3.1666666666666665</v>
      </c>
      <c r="J268" t="str">
        <f ca="1"/>
        <v>C+</v>
      </c>
    </row>
    <row r="269" spans="1:10" x14ac:dyDescent="0.3">
      <c r="A269">
        <v>267</v>
      </c>
      <c r="B269" t="str">
        <f ca="1"/>
        <v>25T-A11-0005</v>
      </c>
      <c r="C269" t="str">
        <f ca="1"/>
        <v>Yuni Hidayat</v>
      </c>
      <c r="D269" t="str">
        <f ca="1"/>
        <v>P</v>
      </c>
      <c r="E269">
        <f ca="1"/>
        <v>2025</v>
      </c>
      <c r="F269" t="str">
        <f ca="1"/>
        <v>Sains</v>
      </c>
      <c r="G269" t="str">
        <f ca="1"/>
        <v>Matematika</v>
      </c>
      <c r="H269">
        <f ca="1"/>
        <v>2</v>
      </c>
      <c r="I269" s="3">
        <f ca="1"/>
        <v>3.2083333333333335</v>
      </c>
      <c r="J269" t="str">
        <f ca="1"/>
        <v>C+</v>
      </c>
    </row>
    <row r="270" spans="1:10" x14ac:dyDescent="0.3">
      <c r="A270">
        <v>268</v>
      </c>
      <c r="B270" t="str">
        <f ca="1"/>
        <v>25T-A11-0007</v>
      </c>
      <c r="C270" t="str">
        <f ca="1"/>
        <v>Winda Kusuma</v>
      </c>
      <c r="D270" t="str">
        <f ca="1"/>
        <v>P</v>
      </c>
      <c r="E270">
        <f ca="1"/>
        <v>2025</v>
      </c>
      <c r="F270" t="str">
        <f ca="1"/>
        <v>Sains</v>
      </c>
      <c r="G270" t="str">
        <f ca="1"/>
        <v>Matematika</v>
      </c>
      <c r="H270">
        <f ca="1"/>
        <v>2</v>
      </c>
      <c r="I270" s="3">
        <f ca="1"/>
        <v>3.3541666666666665</v>
      </c>
      <c r="J270" t="str">
        <f ca="1"/>
        <v>C+</v>
      </c>
    </row>
    <row r="271" spans="1:10" x14ac:dyDescent="0.3">
      <c r="A271">
        <v>269</v>
      </c>
      <c r="B271" t="str">
        <f ca="1"/>
        <v>25T-A11-0009</v>
      </c>
      <c r="C271" t="str">
        <f ca="1"/>
        <v>Lina Octaviani</v>
      </c>
      <c r="D271" t="str">
        <f ca="1"/>
        <v>P</v>
      </c>
      <c r="E271">
        <f ca="1"/>
        <v>2025</v>
      </c>
      <c r="F271" t="str">
        <f ca="1"/>
        <v>Sains</v>
      </c>
      <c r="G271" t="str">
        <f ca="1"/>
        <v>Matematika</v>
      </c>
      <c r="H271">
        <f ca="1"/>
        <v>2</v>
      </c>
      <c r="I271" s="3">
        <f ca="1"/>
        <v>2.8020833333333335</v>
      </c>
      <c r="J271" t="str">
        <f ca="1"/>
        <v>C</v>
      </c>
    </row>
    <row r="272" spans="1:10" x14ac:dyDescent="0.3">
      <c r="A272">
        <v>270</v>
      </c>
      <c r="B272" t="str">
        <f ca="1"/>
        <v>25T-A11-0018</v>
      </c>
      <c r="C272" t="str">
        <f ca="1"/>
        <v>Mega Prasetyo</v>
      </c>
      <c r="D272" t="str">
        <f ca="1"/>
        <v>P</v>
      </c>
      <c r="E272">
        <f ca="1"/>
        <v>2025</v>
      </c>
      <c r="F272" t="str">
        <f ca="1"/>
        <v>Sains</v>
      </c>
      <c r="G272" t="str">
        <f ca="1"/>
        <v>Matematika</v>
      </c>
      <c r="H272">
        <f ca="1"/>
        <v>2</v>
      </c>
      <c r="I272" s="3">
        <f ca="1"/>
        <v>3.3125</v>
      </c>
      <c r="J272" t="str">
        <f ca="1"/>
        <v>C+</v>
      </c>
    </row>
    <row r="273" spans="1:10" x14ac:dyDescent="0.3">
      <c r="A273">
        <v>271</v>
      </c>
      <c r="B273" t="str">
        <f ca="1"/>
        <v>25T-A11-0020</v>
      </c>
      <c r="C273" t="str">
        <f ca="1"/>
        <v>Siti Saputra</v>
      </c>
      <c r="D273" t="str">
        <f ca="1"/>
        <v>P</v>
      </c>
      <c r="E273">
        <f ca="1"/>
        <v>2025</v>
      </c>
      <c r="F273" t="str">
        <f ca="1"/>
        <v>Sains</v>
      </c>
      <c r="G273" t="str">
        <f ca="1"/>
        <v>Matematika</v>
      </c>
      <c r="H273">
        <f ca="1"/>
        <v>2</v>
      </c>
      <c r="I273" s="3">
        <f ca="1"/>
        <v>3.5208333333333335</v>
      </c>
      <c r="J273" t="str">
        <f ca="1"/>
        <v>B-</v>
      </c>
    </row>
    <row r="274" spans="1:10" x14ac:dyDescent="0.3">
      <c r="A274">
        <v>272</v>
      </c>
      <c r="B274" t="str">
        <f ca="1"/>
        <v>25T-A11-0023</v>
      </c>
      <c r="C274" t="str">
        <f ca="1"/>
        <v>Fitri Hidayat</v>
      </c>
      <c r="D274" t="str">
        <f ca="1"/>
        <v>P</v>
      </c>
      <c r="E274">
        <f ca="1"/>
        <v>2025</v>
      </c>
      <c r="F274" t="str">
        <f ca="1"/>
        <v>Sains</v>
      </c>
      <c r="G274" t="str">
        <f ca="1"/>
        <v>Matematika</v>
      </c>
      <c r="H274">
        <f ca="1"/>
        <v>2</v>
      </c>
      <c r="I274" s="3">
        <f ca="1"/>
        <v>3.1041666666666665</v>
      </c>
      <c r="J274" t="str">
        <f ca="1"/>
        <v>C</v>
      </c>
    </row>
    <row r="275" spans="1:10" x14ac:dyDescent="0.3">
      <c r="A275">
        <v>273</v>
      </c>
      <c r="B275" t="str">
        <f ca="1"/>
        <v>25T-A12-0001</v>
      </c>
      <c r="C275" t="str">
        <f ca="1"/>
        <v>Yusuf Nasution</v>
      </c>
      <c r="D275" t="str">
        <f ca="1"/>
        <v>L</v>
      </c>
      <c r="E275">
        <f ca="1"/>
        <v>2025</v>
      </c>
      <c r="F275" t="str">
        <f ca="1"/>
        <v>Sains</v>
      </c>
      <c r="G275" t="str">
        <f ca="1"/>
        <v>Statistika</v>
      </c>
      <c r="H275">
        <f ca="1"/>
        <v>2</v>
      </c>
      <c r="I275" s="3">
        <f ca="1"/>
        <v>3.375</v>
      </c>
      <c r="J275" t="str">
        <f ca="1"/>
        <v>C</v>
      </c>
    </row>
    <row r="276" spans="1:10" x14ac:dyDescent="0.3">
      <c r="A276">
        <v>274</v>
      </c>
      <c r="B276" t="str">
        <f ca="1"/>
        <v>25T-A12-0004</v>
      </c>
      <c r="C276" t="str">
        <f ca="1"/>
        <v>Miftah Santoso</v>
      </c>
      <c r="D276" t="str">
        <f ca="1"/>
        <v>L</v>
      </c>
      <c r="E276">
        <f ca="1"/>
        <v>2025</v>
      </c>
      <c r="F276" t="str">
        <f ca="1"/>
        <v>Sains</v>
      </c>
      <c r="G276" t="str">
        <f ca="1"/>
        <v>Statistika</v>
      </c>
      <c r="H276">
        <f ca="1"/>
        <v>2</v>
      </c>
      <c r="I276" s="3">
        <f ca="1"/>
        <v>3.53125</v>
      </c>
      <c r="J276" t="str">
        <f ca="1"/>
        <v>C+</v>
      </c>
    </row>
    <row r="277" spans="1:10" x14ac:dyDescent="0.3">
      <c r="A277">
        <v>275</v>
      </c>
      <c r="B277" t="str">
        <f ca="1"/>
        <v>25T-A12-0005</v>
      </c>
      <c r="C277" t="str">
        <f ca="1"/>
        <v>Ilham Wijaya</v>
      </c>
      <c r="D277" t="str">
        <f ca="1"/>
        <v>L</v>
      </c>
      <c r="E277">
        <f ca="1"/>
        <v>2025</v>
      </c>
      <c r="F277" t="str">
        <f ca="1"/>
        <v>Sains</v>
      </c>
      <c r="G277" t="str">
        <f ca="1"/>
        <v>Statistika</v>
      </c>
      <c r="H277">
        <f ca="1"/>
        <v>2</v>
      </c>
      <c r="I277" s="3">
        <f ca="1"/>
        <v>3.25</v>
      </c>
      <c r="J277" t="str">
        <f ca="1"/>
        <v>C+</v>
      </c>
    </row>
    <row r="278" spans="1:10" x14ac:dyDescent="0.3">
      <c r="A278">
        <v>276</v>
      </c>
      <c r="B278" t="str">
        <f ca="1"/>
        <v>25T-A12-0006</v>
      </c>
      <c r="C278" t="str">
        <f ca="1"/>
        <v>Okta Ramadhan</v>
      </c>
      <c r="D278" t="str">
        <f ca="1"/>
        <v>P</v>
      </c>
      <c r="E278">
        <f ca="1"/>
        <v>2025</v>
      </c>
      <c r="F278" t="str">
        <f ca="1"/>
        <v>Sains</v>
      </c>
      <c r="G278" t="str">
        <f ca="1"/>
        <v>Statistika</v>
      </c>
      <c r="H278">
        <f ca="1"/>
        <v>2</v>
      </c>
      <c r="I278" s="3">
        <f ca="1"/>
        <v>3.2916666666666665</v>
      </c>
      <c r="J278" t="str">
        <f ca="1"/>
        <v>C</v>
      </c>
    </row>
    <row r="279" spans="1:10" x14ac:dyDescent="0.3">
      <c r="A279">
        <v>277</v>
      </c>
      <c r="B279" t="str">
        <f ca="1"/>
        <v>25T-A12-0007</v>
      </c>
      <c r="C279" t="str">
        <f ca="1"/>
        <v>Rian Wardani</v>
      </c>
      <c r="D279" t="str">
        <f ca="1"/>
        <v>L</v>
      </c>
      <c r="E279">
        <f ca="1"/>
        <v>2025</v>
      </c>
      <c r="F279" t="str">
        <f ca="1"/>
        <v>Sains</v>
      </c>
      <c r="G279" t="str">
        <f ca="1"/>
        <v>Statistika</v>
      </c>
      <c r="H279">
        <f ca="1"/>
        <v>2</v>
      </c>
      <c r="I279" s="3">
        <f ca="1"/>
        <v>3.40625</v>
      </c>
      <c r="J279" t="str">
        <f ca="1"/>
        <v>B-</v>
      </c>
    </row>
    <row r="280" spans="1:10" x14ac:dyDescent="0.3">
      <c r="A280">
        <v>278</v>
      </c>
      <c r="B280" t="str">
        <f ca="1"/>
        <v>25T-A12-0010</v>
      </c>
      <c r="C280" t="str">
        <f ca="1"/>
        <v>Ulfa Tanjung</v>
      </c>
      <c r="D280" t="str">
        <f ca="1"/>
        <v>P</v>
      </c>
      <c r="E280">
        <f ca="1"/>
        <v>2025</v>
      </c>
      <c r="F280" t="str">
        <f ca="1"/>
        <v>Sains</v>
      </c>
      <c r="G280" t="str">
        <f ca="1"/>
        <v>Statistika</v>
      </c>
      <c r="H280">
        <f ca="1"/>
        <v>2</v>
      </c>
      <c r="I280" s="3">
        <f ca="1"/>
        <v>3.28125</v>
      </c>
      <c r="J280" t="str">
        <f ca="1"/>
        <v>C</v>
      </c>
    </row>
    <row r="281" spans="1:10" x14ac:dyDescent="0.3">
      <c r="A281">
        <v>279</v>
      </c>
      <c r="B281" t="str">
        <f ca="1"/>
        <v>25T-A12-0011</v>
      </c>
      <c r="C281" t="str">
        <f ca="1"/>
        <v>Sandi Yulianto</v>
      </c>
      <c r="D281" t="str">
        <f ca="1"/>
        <v>L</v>
      </c>
      <c r="E281">
        <f ca="1"/>
        <v>2025</v>
      </c>
      <c r="F281" t="str">
        <f ca="1"/>
        <v>Sains</v>
      </c>
      <c r="G281" t="str">
        <f ca="1"/>
        <v>Statistika</v>
      </c>
      <c r="H281">
        <f ca="1"/>
        <v>2</v>
      </c>
      <c r="I281" s="3">
        <f ca="1"/>
        <v>3.4583333333333335</v>
      </c>
      <c r="J281" t="str">
        <f ca="1"/>
        <v>B-</v>
      </c>
    </row>
    <row r="282" spans="1:10" x14ac:dyDescent="0.3">
      <c r="A282">
        <v>280</v>
      </c>
      <c r="B282" t="str">
        <f ca="1"/>
        <v>25T-A12-0013</v>
      </c>
      <c r="C282" t="str">
        <f ca="1"/>
        <v>Yana Susanto</v>
      </c>
      <c r="D282" t="str">
        <f ca="1"/>
        <v>P</v>
      </c>
      <c r="E282">
        <f ca="1"/>
        <v>2025</v>
      </c>
      <c r="F282" t="str">
        <f ca="1"/>
        <v>Sains</v>
      </c>
      <c r="G282" t="str">
        <f ca="1"/>
        <v>Statistika</v>
      </c>
      <c r="H282">
        <f ca="1"/>
        <v>2</v>
      </c>
      <c r="I282" s="3">
        <f ca="1"/>
        <v>3.0416666666666665</v>
      </c>
      <c r="J282" t="str">
        <f ca="1"/>
        <v>C+</v>
      </c>
    </row>
    <row r="283" spans="1:10" x14ac:dyDescent="0.3">
      <c r="A283">
        <v>281</v>
      </c>
      <c r="B283" t="str">
        <f ca="1"/>
        <v>25T-A12-0015</v>
      </c>
      <c r="C283" t="str">
        <f ca="1"/>
        <v>Gita Wahyudi</v>
      </c>
      <c r="D283" t="str">
        <f ca="1"/>
        <v>P</v>
      </c>
      <c r="E283">
        <f ca="1"/>
        <v>2025</v>
      </c>
      <c r="F283" t="str">
        <f ca="1"/>
        <v>Sains</v>
      </c>
      <c r="G283" t="str">
        <f ca="1"/>
        <v>Statistika</v>
      </c>
      <c r="H283">
        <f ca="1"/>
        <v>2</v>
      </c>
      <c r="I283" s="3">
        <f ca="1"/>
        <v>3.3645833333333335</v>
      </c>
      <c r="J283" t="str">
        <f ca="1"/>
        <v>C</v>
      </c>
    </row>
    <row r="284" spans="1:10" x14ac:dyDescent="0.3">
      <c r="A284">
        <v>282</v>
      </c>
      <c r="B284" t="str">
        <f ca="1"/>
        <v>25T-A12-0019</v>
      </c>
      <c r="C284" t="str">
        <f ca="1"/>
        <v>Wisnu Susanto</v>
      </c>
      <c r="D284" t="str">
        <f ca="1"/>
        <v>L</v>
      </c>
      <c r="E284">
        <f ca="1"/>
        <v>2025</v>
      </c>
      <c r="F284" t="str">
        <f ca="1"/>
        <v>Sains</v>
      </c>
      <c r="G284" t="str">
        <f ca="1"/>
        <v>Statistika</v>
      </c>
      <c r="H284">
        <f ca="1"/>
        <v>2</v>
      </c>
      <c r="I284" s="3">
        <f ca="1"/>
        <v>3.4270833333333335</v>
      </c>
      <c r="J284" t="str">
        <f ca="1"/>
        <v>C+</v>
      </c>
    </row>
    <row r="285" spans="1:10" x14ac:dyDescent="0.3">
      <c r="A285">
        <v>283</v>
      </c>
      <c r="B285" t="str">
        <f ca="1"/>
        <v>25T-A13-0002</v>
      </c>
      <c r="C285" t="str">
        <f ca="1"/>
        <v>Nadia Wibowo</v>
      </c>
      <c r="D285" t="str">
        <f ca="1"/>
        <v>P</v>
      </c>
      <c r="E285">
        <f ca="1"/>
        <v>2025</v>
      </c>
      <c r="F285" t="str">
        <f ca="1"/>
        <v>Sains</v>
      </c>
      <c r="G285" t="str">
        <f ca="1"/>
        <v>Biologi</v>
      </c>
      <c r="H285">
        <f ca="1"/>
        <v>2</v>
      </c>
      <c r="I285" s="3">
        <f ca="1"/>
        <v>3.1666666666666665</v>
      </c>
      <c r="J285" t="str">
        <f ca="1"/>
        <v>C</v>
      </c>
    </row>
    <row r="286" spans="1:10" x14ac:dyDescent="0.3">
      <c r="A286">
        <v>284</v>
      </c>
      <c r="B286" t="str">
        <f ca="1"/>
        <v>25T-A13-0005</v>
      </c>
      <c r="C286" t="str">
        <f ca="1"/>
        <v>Fira Susanto</v>
      </c>
      <c r="D286" t="str">
        <f ca="1"/>
        <v>P</v>
      </c>
      <c r="E286">
        <f ca="1"/>
        <v>2025</v>
      </c>
      <c r="F286" t="str">
        <f ca="1"/>
        <v>Sains</v>
      </c>
      <c r="G286" t="str">
        <f ca="1"/>
        <v>Biologi</v>
      </c>
      <c r="H286">
        <f ca="1"/>
        <v>2</v>
      </c>
      <c r="I286" s="3">
        <f ca="1"/>
        <v>3.2083333333333335</v>
      </c>
      <c r="J286" t="str">
        <f ca="1"/>
        <v>C+</v>
      </c>
    </row>
    <row r="287" spans="1:10" x14ac:dyDescent="0.3">
      <c r="A287">
        <v>285</v>
      </c>
      <c r="B287" t="str">
        <f ca="1"/>
        <v>25T-A13-0007</v>
      </c>
      <c r="C287" t="str">
        <f ca="1"/>
        <v>Indah Nurdin</v>
      </c>
      <c r="D287" t="str">
        <f ca="1"/>
        <v>P</v>
      </c>
      <c r="E287">
        <f ca="1"/>
        <v>2025</v>
      </c>
      <c r="F287" t="str">
        <f ca="1"/>
        <v>Sains</v>
      </c>
      <c r="G287" t="str">
        <f ca="1"/>
        <v>Biologi</v>
      </c>
      <c r="H287">
        <f ca="1"/>
        <v>2</v>
      </c>
      <c r="I287" s="3">
        <f ca="1"/>
        <v>3.2604166666666665</v>
      </c>
      <c r="J287" t="str">
        <f ca="1"/>
        <v>B-</v>
      </c>
    </row>
    <row r="288" spans="1:10" x14ac:dyDescent="0.3">
      <c r="A288">
        <v>286</v>
      </c>
      <c r="B288" t="str">
        <f ca="1"/>
        <v>25T-A13-0008</v>
      </c>
      <c r="C288" t="str">
        <f ca="1"/>
        <v>Tono Yusnita</v>
      </c>
      <c r="D288" t="str">
        <f ca="1"/>
        <v>L</v>
      </c>
      <c r="E288">
        <f ca="1"/>
        <v>2025</v>
      </c>
      <c r="F288" t="str">
        <f ca="1"/>
        <v>Sains</v>
      </c>
      <c r="G288" t="str">
        <f ca="1"/>
        <v>Biologi</v>
      </c>
      <c r="H288">
        <f ca="1"/>
        <v>2</v>
      </c>
      <c r="I288" s="3">
        <f ca="1"/>
        <v>3.1875</v>
      </c>
      <c r="J288" t="str">
        <f ca="1"/>
        <v>C+</v>
      </c>
    </row>
    <row r="289" spans="1:10" x14ac:dyDescent="0.3">
      <c r="A289">
        <v>287</v>
      </c>
      <c r="B289" t="str">
        <f ca="1"/>
        <v>25T-A13-0011</v>
      </c>
      <c r="C289" t="str">
        <f ca="1"/>
        <v>Rani Irawan</v>
      </c>
      <c r="D289" t="str">
        <f ca="1"/>
        <v>P</v>
      </c>
      <c r="E289">
        <f ca="1"/>
        <v>2025</v>
      </c>
      <c r="F289" t="str">
        <f ca="1"/>
        <v>Sains</v>
      </c>
      <c r="G289" t="str">
        <f ca="1"/>
        <v>Biologi</v>
      </c>
      <c r="H289">
        <f ca="1"/>
        <v>2</v>
      </c>
      <c r="I289" s="3">
        <f ca="1"/>
        <v>3.46875</v>
      </c>
      <c r="J289" t="str">
        <f ca="1"/>
        <v>C+</v>
      </c>
    </row>
    <row r="290" spans="1:10" x14ac:dyDescent="0.3">
      <c r="A290">
        <v>288</v>
      </c>
      <c r="B290" t="str">
        <f ca="1"/>
        <v>25T-A21-0001</v>
      </c>
      <c r="C290" t="str">
        <f ca="1"/>
        <v>Wisnu Nugroho</v>
      </c>
      <c r="D290" t="str">
        <f ca="1"/>
        <v>L</v>
      </c>
      <c r="E290">
        <f ca="1"/>
        <v>2025</v>
      </c>
      <c r="F290" t="str">
        <f ca="1"/>
        <v>Teknik</v>
      </c>
      <c r="G290" t="str">
        <f ca="1"/>
        <v>Teknik Informatika</v>
      </c>
      <c r="H290">
        <f ca="1"/>
        <v>2</v>
      </c>
      <c r="I290" s="3">
        <f ca="1"/>
        <v>3.1666666666666665</v>
      </c>
      <c r="J290" t="str">
        <f ca="1"/>
        <v>C</v>
      </c>
    </row>
    <row r="291" spans="1:10" x14ac:dyDescent="0.3">
      <c r="A291">
        <v>289</v>
      </c>
      <c r="B291" t="str">
        <f ca="1"/>
        <v>25T-A21-0002</v>
      </c>
      <c r="C291" t="str">
        <f ca="1"/>
        <v>Intan Nasution</v>
      </c>
      <c r="D291" t="str">
        <f ca="1"/>
        <v>P</v>
      </c>
      <c r="E291">
        <f ca="1"/>
        <v>2025</v>
      </c>
      <c r="F291" t="str">
        <f ca="1"/>
        <v>Teknik</v>
      </c>
      <c r="G291" t="str">
        <f ca="1"/>
        <v>Teknik Informatika</v>
      </c>
      <c r="H291">
        <f ca="1"/>
        <v>2</v>
      </c>
      <c r="I291" s="3">
        <f ca="1"/>
        <v>3.4583333333333335</v>
      </c>
      <c r="J291" t="str">
        <f ca="1"/>
        <v>B-</v>
      </c>
    </row>
    <row r="292" spans="1:10" x14ac:dyDescent="0.3">
      <c r="A292">
        <v>290</v>
      </c>
      <c r="B292" t="str">
        <f ca="1"/>
        <v>25T-A21-0005</v>
      </c>
      <c r="C292" t="str">
        <f ca="1"/>
        <v>Arif Saputra</v>
      </c>
      <c r="D292" t="str">
        <f ca="1"/>
        <v>L</v>
      </c>
      <c r="E292">
        <f ca="1"/>
        <v>2025</v>
      </c>
      <c r="F292" t="str">
        <f ca="1"/>
        <v>Teknik</v>
      </c>
      <c r="G292" t="str">
        <f ca="1"/>
        <v>Teknik Informatika</v>
      </c>
      <c r="H292">
        <f ca="1"/>
        <v>2</v>
      </c>
      <c r="I292" s="3">
        <f ca="1"/>
        <v>3.5104166666666665</v>
      </c>
      <c r="J292" t="str">
        <f ca="1"/>
        <v>C+</v>
      </c>
    </row>
    <row r="293" spans="1:10" x14ac:dyDescent="0.3">
      <c r="A293">
        <v>291</v>
      </c>
      <c r="B293" t="str">
        <f ca="1"/>
        <v>25T-A21-0006</v>
      </c>
      <c r="C293" t="str">
        <f ca="1"/>
        <v>Yoga Nugroho</v>
      </c>
      <c r="D293" t="str">
        <f ca="1"/>
        <v>L</v>
      </c>
      <c r="E293">
        <f ca="1"/>
        <v>2025</v>
      </c>
      <c r="F293" t="str">
        <f ca="1"/>
        <v>Teknik</v>
      </c>
      <c r="G293" t="str">
        <f ca="1"/>
        <v>Teknik Informatika</v>
      </c>
      <c r="H293">
        <f ca="1"/>
        <v>2</v>
      </c>
      <c r="I293" s="3">
        <f ca="1"/>
        <v>3.3020833333333335</v>
      </c>
      <c r="J293" t="str">
        <f ca="1"/>
        <v>C</v>
      </c>
    </row>
    <row r="294" spans="1:10" x14ac:dyDescent="0.3">
      <c r="A294">
        <v>292</v>
      </c>
      <c r="B294" t="str">
        <f ca="1"/>
        <v>25T-A21-0007</v>
      </c>
      <c r="C294" t="str">
        <f ca="1"/>
        <v>Naufal Firmansyah</v>
      </c>
      <c r="D294" t="str">
        <f ca="1"/>
        <v>L</v>
      </c>
      <c r="E294">
        <f ca="1"/>
        <v>2025</v>
      </c>
      <c r="F294" t="str">
        <f ca="1"/>
        <v>Teknik</v>
      </c>
      <c r="G294" t="str">
        <f ca="1"/>
        <v>Teknik Informatika</v>
      </c>
      <c r="H294">
        <f ca="1"/>
        <v>2</v>
      </c>
      <c r="I294" s="3">
        <f ca="1"/>
        <v>3.15625</v>
      </c>
      <c r="J294" t="str">
        <f ca="1"/>
        <v>C+</v>
      </c>
    </row>
    <row r="295" spans="1:10" x14ac:dyDescent="0.3">
      <c r="A295">
        <v>293</v>
      </c>
      <c r="B295" t="str">
        <f ca="1"/>
        <v>25T-A21-0008</v>
      </c>
      <c r="C295" t="str">
        <f ca="1"/>
        <v>Citra Wibowo</v>
      </c>
      <c r="D295" t="str">
        <f ca="1"/>
        <v>P</v>
      </c>
      <c r="E295">
        <f ca="1"/>
        <v>2025</v>
      </c>
      <c r="F295" t="str">
        <f ca="1"/>
        <v>Teknik</v>
      </c>
      <c r="G295" t="str">
        <f ca="1"/>
        <v>Teknik Informatika</v>
      </c>
      <c r="H295">
        <f ca="1"/>
        <v>2</v>
      </c>
      <c r="I295" s="3">
        <f ca="1"/>
        <v>3.09375</v>
      </c>
      <c r="J295" t="str">
        <f ca="1"/>
        <v>C+</v>
      </c>
    </row>
    <row r="296" spans="1:10" x14ac:dyDescent="0.3">
      <c r="A296">
        <v>294</v>
      </c>
      <c r="B296" t="str">
        <f ca="1"/>
        <v>25T-A21-0009</v>
      </c>
      <c r="C296" t="str">
        <f ca="1"/>
        <v>Tari Utama</v>
      </c>
      <c r="D296" t="str">
        <f ca="1"/>
        <v>P</v>
      </c>
      <c r="E296">
        <f ca="1"/>
        <v>2025</v>
      </c>
      <c r="F296" t="str">
        <f ca="1"/>
        <v>Teknik</v>
      </c>
      <c r="G296" t="str">
        <f ca="1"/>
        <v>Teknik Informatika</v>
      </c>
      <c r="H296">
        <f ca="1"/>
        <v>2</v>
      </c>
      <c r="I296" s="3">
        <f ca="1"/>
        <v>3.6354166666666665</v>
      </c>
      <c r="J296" t="str">
        <f ca="1"/>
        <v>B-</v>
      </c>
    </row>
    <row r="297" spans="1:10" x14ac:dyDescent="0.3">
      <c r="A297">
        <v>295</v>
      </c>
      <c r="B297" t="str">
        <f ca="1"/>
        <v>25T-A21-0010</v>
      </c>
      <c r="C297" t="str">
        <f ca="1"/>
        <v>Nanda Iskandar</v>
      </c>
      <c r="D297" t="str">
        <f ca="1"/>
        <v>L</v>
      </c>
      <c r="E297">
        <f ca="1"/>
        <v>2025</v>
      </c>
      <c r="F297" t="str">
        <f ca="1"/>
        <v>Teknik</v>
      </c>
      <c r="G297" t="str">
        <f ca="1"/>
        <v>Teknik Informatika</v>
      </c>
      <c r="H297">
        <f ca="1"/>
        <v>2</v>
      </c>
      <c r="I297" s="3">
        <f ca="1"/>
        <v>3.0625</v>
      </c>
      <c r="J297" t="str">
        <f ca="1"/>
        <v>B-</v>
      </c>
    </row>
    <row r="298" spans="1:10" x14ac:dyDescent="0.3">
      <c r="A298">
        <v>296</v>
      </c>
      <c r="B298" t="str">
        <f ca="1"/>
        <v>25T-A21-0011</v>
      </c>
      <c r="C298" t="str">
        <f ca="1"/>
        <v>Eko Lesmana</v>
      </c>
      <c r="D298" t="str">
        <f ca="1"/>
        <v>L</v>
      </c>
      <c r="E298">
        <f ca="1"/>
        <v>2025</v>
      </c>
      <c r="F298" t="str">
        <f ca="1"/>
        <v>Teknik</v>
      </c>
      <c r="G298" t="str">
        <f ca="1"/>
        <v>Teknik Informatika</v>
      </c>
      <c r="H298">
        <f ca="1"/>
        <v>2</v>
      </c>
      <c r="I298" s="3">
        <f ca="1"/>
        <v>3.21875</v>
      </c>
      <c r="J298" t="str">
        <f ca="1"/>
        <v>C</v>
      </c>
    </row>
    <row r="299" spans="1:10" x14ac:dyDescent="0.3">
      <c r="A299">
        <v>297</v>
      </c>
      <c r="B299" t="str">
        <f ca="1"/>
        <v>25T-A22-0002</v>
      </c>
      <c r="C299" t="str">
        <f ca="1"/>
        <v>Yusuf Wijaya</v>
      </c>
      <c r="D299" t="str">
        <f ca="1"/>
        <v>L</v>
      </c>
      <c r="E299">
        <f ca="1"/>
        <v>2025</v>
      </c>
      <c r="F299" t="str">
        <f ca="1"/>
        <v>Teknik</v>
      </c>
      <c r="G299" t="str">
        <f ca="1"/>
        <v>Teknik Industri</v>
      </c>
      <c r="H299">
        <f ca="1"/>
        <v>2</v>
      </c>
      <c r="I299" s="3">
        <f ca="1"/>
        <v>3.21875</v>
      </c>
      <c r="J299" t="str">
        <f ca="1"/>
        <v>B-</v>
      </c>
    </row>
    <row r="300" spans="1:10" x14ac:dyDescent="0.3">
      <c r="A300">
        <v>298</v>
      </c>
      <c r="B300" t="str">
        <f ca="1"/>
        <v>25T-A22-0003</v>
      </c>
      <c r="C300" t="str">
        <f ca="1"/>
        <v>Muhammad Iskandar</v>
      </c>
      <c r="D300" t="str">
        <f ca="1"/>
        <v>L</v>
      </c>
      <c r="E300">
        <f ca="1"/>
        <v>2025</v>
      </c>
      <c r="F300" t="str">
        <f ca="1"/>
        <v>Teknik</v>
      </c>
      <c r="G300" t="str">
        <f ca="1"/>
        <v>Teknik Industri</v>
      </c>
      <c r="H300">
        <f ca="1"/>
        <v>2</v>
      </c>
      <c r="I300" s="3">
        <f ca="1"/>
        <v>3.3854166666666665</v>
      </c>
      <c r="J300" t="str">
        <f ca="1"/>
        <v>C+</v>
      </c>
    </row>
    <row r="301" spans="1:10" x14ac:dyDescent="0.3">
      <c r="A301">
        <v>299</v>
      </c>
      <c r="B301" t="str">
        <f ca="1"/>
        <v>25T-A22-0006</v>
      </c>
      <c r="C301" t="str">
        <f ca="1"/>
        <v>Rian Siregar</v>
      </c>
      <c r="D301" t="str">
        <f ca="1"/>
        <v>L</v>
      </c>
      <c r="E301">
        <f ca="1"/>
        <v>2025</v>
      </c>
      <c r="F301" t="str">
        <f ca="1"/>
        <v>Teknik</v>
      </c>
      <c r="G301" t="str">
        <f ca="1"/>
        <v>Teknik Industri</v>
      </c>
      <c r="H301">
        <f ca="1"/>
        <v>2</v>
      </c>
      <c r="I301" s="3">
        <f ca="1"/>
        <v>3.3229166666666665</v>
      </c>
      <c r="J301" t="str">
        <f ca="1"/>
        <v>C+</v>
      </c>
    </row>
    <row r="302" spans="1:10" x14ac:dyDescent="0.3">
      <c r="A302">
        <v>300</v>
      </c>
      <c r="B302" t="str">
        <f ca="1"/>
        <v>25T-A22-0008</v>
      </c>
      <c r="C302" t="str">
        <f ca="1"/>
        <v>Tuti Permana</v>
      </c>
      <c r="D302" t="str">
        <f ca="1"/>
        <v>P</v>
      </c>
      <c r="E302">
        <f ca="1"/>
        <v>2025</v>
      </c>
      <c r="F302" t="str">
        <f ca="1"/>
        <v>Teknik</v>
      </c>
      <c r="G302" t="str">
        <f ca="1"/>
        <v>Teknik Industri</v>
      </c>
      <c r="H302">
        <f ca="1"/>
        <v>2</v>
      </c>
      <c r="I302" s="3">
        <f ca="1"/>
        <v>3.4270833333333335</v>
      </c>
      <c r="J302" t="str">
        <f ca="1"/>
        <v>C+</v>
      </c>
    </row>
    <row r="303" spans="1:10" x14ac:dyDescent="0.3">
      <c r="A303">
        <v>301</v>
      </c>
      <c r="B303" t="str">
        <f ca="1"/>
        <v>25T-A22-0013</v>
      </c>
      <c r="C303" t="str">
        <f ca="1"/>
        <v>Yana Prasetyo</v>
      </c>
      <c r="D303" t="str">
        <f ca="1"/>
        <v>P</v>
      </c>
      <c r="E303">
        <f ca="1"/>
        <v>2025</v>
      </c>
      <c r="F303" t="str">
        <f ca="1"/>
        <v>Teknik</v>
      </c>
      <c r="G303" t="str">
        <f ca="1"/>
        <v>Teknik Industri</v>
      </c>
      <c r="H303">
        <f ca="1"/>
        <v>2</v>
      </c>
      <c r="I303" s="3">
        <f ca="1"/>
        <v>3.1458333333333335</v>
      </c>
      <c r="J303" t="str">
        <f ca="1"/>
        <v>C</v>
      </c>
    </row>
    <row r="304" spans="1:10" x14ac:dyDescent="0.3">
      <c r="A304">
        <v>302</v>
      </c>
      <c r="B304" t="str">
        <f ca="1"/>
        <v>25T-A22-0015</v>
      </c>
      <c r="C304" t="str">
        <f ca="1"/>
        <v>Taufik Gunawan</v>
      </c>
      <c r="D304" t="str">
        <f ca="1"/>
        <v>L</v>
      </c>
      <c r="E304">
        <f ca="1"/>
        <v>2025</v>
      </c>
      <c r="F304" t="str">
        <f ca="1"/>
        <v>Teknik</v>
      </c>
      <c r="G304" t="str">
        <f ca="1"/>
        <v>Teknik Industri</v>
      </c>
      <c r="H304">
        <f ca="1"/>
        <v>2</v>
      </c>
      <c r="I304" s="3">
        <f ca="1"/>
        <v>3.3333333333333335</v>
      </c>
      <c r="J304" t="str">
        <f ca="1"/>
        <v>C</v>
      </c>
    </row>
    <row r="305" spans="1:10" x14ac:dyDescent="0.3">
      <c r="A305">
        <v>303</v>
      </c>
      <c r="B305" t="str">
        <f ca="1"/>
        <v>25T-A22-0017</v>
      </c>
      <c r="C305" t="str">
        <f ca="1"/>
        <v>Dedi Nasution</v>
      </c>
      <c r="D305" t="str">
        <f ca="1"/>
        <v>L</v>
      </c>
      <c r="E305">
        <f ca="1"/>
        <v>2025</v>
      </c>
      <c r="F305" t="str">
        <f ca="1"/>
        <v>Teknik</v>
      </c>
      <c r="G305" t="str">
        <f ca="1"/>
        <v>Teknik Industri</v>
      </c>
      <c r="H305">
        <f ca="1"/>
        <v>2</v>
      </c>
      <c r="I305" s="3">
        <f ca="1"/>
        <v>3.2083333333333335</v>
      </c>
      <c r="J305" t="str">
        <f ca="1"/>
        <v>C+</v>
      </c>
    </row>
    <row r="306" spans="1:10" x14ac:dyDescent="0.3">
      <c r="A306">
        <v>304</v>
      </c>
      <c r="B306" t="str">
        <f ca="1"/>
        <v>25T-A22-0019</v>
      </c>
      <c r="C306" t="str">
        <f ca="1"/>
        <v>Wati Prasetyo</v>
      </c>
      <c r="D306" t="str">
        <f ca="1"/>
        <v>P</v>
      </c>
      <c r="E306">
        <f ca="1"/>
        <v>2025</v>
      </c>
      <c r="F306" t="str">
        <f ca="1"/>
        <v>Teknik</v>
      </c>
      <c r="G306" t="str">
        <f ca="1"/>
        <v>Teknik Industri</v>
      </c>
      <c r="H306">
        <f ca="1"/>
        <v>2</v>
      </c>
      <c r="I306" s="3">
        <f ca="1"/>
        <v>2.8541666666666665</v>
      </c>
      <c r="J306" t="str">
        <f ca="1"/>
        <v>C</v>
      </c>
    </row>
    <row r="307" spans="1:10" x14ac:dyDescent="0.3">
      <c r="A307">
        <v>305</v>
      </c>
      <c r="B307" t="str">
        <f ca="1"/>
        <v>25T-A22-0020</v>
      </c>
      <c r="C307" t="str">
        <f ca="1"/>
        <v>Ulfa Mardiana</v>
      </c>
      <c r="D307" t="str">
        <f ca="1"/>
        <v>P</v>
      </c>
      <c r="E307">
        <f ca="1"/>
        <v>2025</v>
      </c>
      <c r="F307" t="str">
        <f ca="1"/>
        <v>Teknik</v>
      </c>
      <c r="G307" t="str">
        <f ca="1"/>
        <v>Teknik Industri</v>
      </c>
      <c r="H307">
        <f ca="1"/>
        <v>2</v>
      </c>
      <c r="I307" s="3">
        <f ca="1"/>
        <v>3.25</v>
      </c>
      <c r="J307" t="str">
        <f ca="1"/>
        <v>C</v>
      </c>
    </row>
    <row r="308" spans="1:10" x14ac:dyDescent="0.3">
      <c r="A308">
        <v>306</v>
      </c>
      <c r="B308" t="str">
        <f ca="1"/>
        <v>25T-A22-0021</v>
      </c>
      <c r="C308" t="str">
        <f ca="1"/>
        <v>Citra Gunawan</v>
      </c>
      <c r="D308" t="str">
        <f ca="1"/>
        <v>P</v>
      </c>
      <c r="E308">
        <f ca="1"/>
        <v>2025</v>
      </c>
      <c r="F308" t="str">
        <f ca="1"/>
        <v>Teknik</v>
      </c>
      <c r="G308" t="str">
        <f ca="1"/>
        <v>Teknik Industri</v>
      </c>
      <c r="H308">
        <f ca="1"/>
        <v>2</v>
      </c>
      <c r="I308" s="3">
        <f ca="1"/>
        <v>3.375</v>
      </c>
      <c r="J308" t="str">
        <f ca="1"/>
        <v>C+</v>
      </c>
    </row>
    <row r="309" spans="1:10" x14ac:dyDescent="0.3">
      <c r="A309">
        <v>307</v>
      </c>
      <c r="B309" t="str">
        <f ca="1"/>
        <v>25T-A31-0002</v>
      </c>
      <c r="C309" t="str">
        <f ca="1"/>
        <v>Lutfi Kurnia</v>
      </c>
      <c r="D309" t="str">
        <f ca="1"/>
        <v>L</v>
      </c>
      <c r="E309">
        <f ca="1"/>
        <v>2025</v>
      </c>
      <c r="F309" t="str">
        <f ca="1"/>
        <v>Ekonomi</v>
      </c>
      <c r="G309" t="str">
        <f ca="1"/>
        <v>Manajemen</v>
      </c>
      <c r="H309">
        <f ca="1"/>
        <v>2</v>
      </c>
      <c r="I309" s="3">
        <f ca="1"/>
        <v>3</v>
      </c>
      <c r="J309" t="str">
        <f ca="1"/>
        <v>C</v>
      </c>
    </row>
    <row r="310" spans="1:10" x14ac:dyDescent="0.3">
      <c r="A310">
        <v>308</v>
      </c>
      <c r="B310" t="str">
        <f ca="1"/>
        <v>25T-A31-0004</v>
      </c>
      <c r="C310" t="str">
        <f ca="1"/>
        <v>Nanda Hakim</v>
      </c>
      <c r="D310" t="str">
        <f ca="1"/>
        <v>L</v>
      </c>
      <c r="E310">
        <f ca="1"/>
        <v>2025</v>
      </c>
      <c r="F310" t="str">
        <f ca="1"/>
        <v>Ekonomi</v>
      </c>
      <c r="G310" t="str">
        <f ca="1"/>
        <v>Manajemen</v>
      </c>
      <c r="H310">
        <f ca="1"/>
        <v>2</v>
      </c>
      <c r="I310" s="3">
        <f ca="1"/>
        <v>3.3333333333333335</v>
      </c>
      <c r="J310" t="str">
        <f ca="1"/>
        <v>C</v>
      </c>
    </row>
    <row r="311" spans="1:10" x14ac:dyDescent="0.3">
      <c r="A311">
        <v>309</v>
      </c>
      <c r="B311" t="str">
        <f ca="1"/>
        <v>25T-A31-0005</v>
      </c>
      <c r="C311" t="str">
        <f ca="1"/>
        <v>Joko Junaedi</v>
      </c>
      <c r="D311" t="str">
        <f ca="1"/>
        <v>L</v>
      </c>
      <c r="E311">
        <f ca="1"/>
        <v>2025</v>
      </c>
      <c r="F311" t="str">
        <f ca="1"/>
        <v>Ekonomi</v>
      </c>
      <c r="G311" t="str">
        <f ca="1"/>
        <v>Manajemen</v>
      </c>
      <c r="H311">
        <f ca="1"/>
        <v>2</v>
      </c>
      <c r="I311" s="3">
        <f ca="1"/>
        <v>3.0416666666666665</v>
      </c>
      <c r="J311" t="str">
        <f ca="1"/>
        <v>C+</v>
      </c>
    </row>
    <row r="312" spans="1:10" x14ac:dyDescent="0.3">
      <c r="A312">
        <v>310</v>
      </c>
      <c r="B312" t="str">
        <f ca="1"/>
        <v>25T-A31-0011</v>
      </c>
      <c r="C312" t="str">
        <f ca="1"/>
        <v>Nanda Wahyudi</v>
      </c>
      <c r="D312" t="str">
        <f ca="1"/>
        <v>L</v>
      </c>
      <c r="E312">
        <f ca="1"/>
        <v>2025</v>
      </c>
      <c r="F312" t="str">
        <f ca="1"/>
        <v>Ekonomi</v>
      </c>
      <c r="G312" t="str">
        <f ca="1"/>
        <v>Manajemen</v>
      </c>
      <c r="H312">
        <f ca="1"/>
        <v>2</v>
      </c>
      <c r="I312" s="3">
        <f ca="1"/>
        <v>3.5833333333333335</v>
      </c>
      <c r="J312" t="str">
        <f ca="1"/>
        <v>B</v>
      </c>
    </row>
    <row r="313" spans="1:10" x14ac:dyDescent="0.3">
      <c r="A313">
        <v>311</v>
      </c>
      <c r="B313" t="str">
        <f ca="1"/>
        <v>25T-A31-0012</v>
      </c>
      <c r="C313" t="str">
        <f ca="1"/>
        <v>Dewi Wibowo</v>
      </c>
      <c r="D313" t="str">
        <f ca="1"/>
        <v>P</v>
      </c>
      <c r="E313">
        <f ca="1"/>
        <v>2025</v>
      </c>
      <c r="F313" t="str">
        <f ca="1"/>
        <v>Ekonomi</v>
      </c>
      <c r="G313" t="str">
        <f ca="1"/>
        <v>Manajemen</v>
      </c>
      <c r="H313">
        <f ca="1"/>
        <v>2</v>
      </c>
      <c r="I313" s="3">
        <f ca="1"/>
        <v>2.96875</v>
      </c>
      <c r="J313" t="str">
        <f ca="1"/>
        <v>C</v>
      </c>
    </row>
    <row r="314" spans="1:10" x14ac:dyDescent="0.3">
      <c r="A314">
        <v>312</v>
      </c>
      <c r="B314" t="str">
        <f ca="1"/>
        <v>25T-A31-0013</v>
      </c>
      <c r="C314" t="str">
        <f ca="1"/>
        <v>Rian Wibowo</v>
      </c>
      <c r="D314" t="str">
        <f ca="1"/>
        <v>L</v>
      </c>
      <c r="E314">
        <f ca="1"/>
        <v>2025</v>
      </c>
      <c r="F314" t="str">
        <f ca="1"/>
        <v>Ekonomi</v>
      </c>
      <c r="G314" t="str">
        <f ca="1"/>
        <v>Manajemen</v>
      </c>
      <c r="H314">
        <f ca="1"/>
        <v>2</v>
      </c>
      <c r="I314" s="3">
        <f ca="1"/>
        <v>3.0416666666666665</v>
      </c>
      <c r="J314" t="str">
        <f ca="1"/>
        <v>C+</v>
      </c>
    </row>
    <row r="315" spans="1:10" x14ac:dyDescent="0.3">
      <c r="A315">
        <v>313</v>
      </c>
      <c r="B315" t="str">
        <f ca="1"/>
        <v>25T-A32-0003</v>
      </c>
      <c r="C315" t="str">
        <f ca="1"/>
        <v>Ujang Permana</v>
      </c>
      <c r="D315" t="str">
        <f ca="1"/>
        <v>L</v>
      </c>
      <c r="E315">
        <f ca="1"/>
        <v>2025</v>
      </c>
      <c r="F315" t="str">
        <f ca="1"/>
        <v>Ekonomi</v>
      </c>
      <c r="G315" t="str">
        <f ca="1"/>
        <v xml:space="preserve"> Akuntansi</v>
      </c>
      <c r="H315">
        <f ca="1"/>
        <v>2</v>
      </c>
      <c r="I315" s="3">
        <f ca="1"/>
        <v>3.6458333333333335</v>
      </c>
      <c r="J315" t="str">
        <f ca="1"/>
        <v>B</v>
      </c>
    </row>
    <row r="316" spans="1:10" x14ac:dyDescent="0.3">
      <c r="A316">
        <v>314</v>
      </c>
      <c r="B316" t="str">
        <f ca="1"/>
        <v>25T-A32-0006</v>
      </c>
      <c r="C316" t="str">
        <f ca="1"/>
        <v>Hadi Zulkarnain</v>
      </c>
      <c r="D316" t="str">
        <f ca="1"/>
        <v>L</v>
      </c>
      <c r="E316">
        <f ca="1"/>
        <v>2025</v>
      </c>
      <c r="F316" t="str">
        <f ca="1"/>
        <v>Ekonomi</v>
      </c>
      <c r="G316" t="str">
        <f ca="1"/>
        <v xml:space="preserve"> Akuntansi</v>
      </c>
      <c r="H316">
        <f ca="1"/>
        <v>2</v>
      </c>
      <c r="I316" s="3">
        <f ca="1"/>
        <v>3.21875</v>
      </c>
      <c r="J316" t="str">
        <f ca="1"/>
        <v>C</v>
      </c>
    </row>
    <row r="317" spans="1:10" x14ac:dyDescent="0.3">
      <c r="A317">
        <v>315</v>
      </c>
      <c r="B317" t="str">
        <f ca="1"/>
        <v>25T-A32-0007</v>
      </c>
      <c r="C317" t="str">
        <f ca="1"/>
        <v>Pandu Ramadhan</v>
      </c>
      <c r="D317" t="str">
        <f ca="1"/>
        <v>L</v>
      </c>
      <c r="E317">
        <f ca="1"/>
        <v>2025</v>
      </c>
      <c r="F317" t="str">
        <f ca="1"/>
        <v>Ekonomi</v>
      </c>
      <c r="G317" t="str">
        <f ca="1"/>
        <v xml:space="preserve"> Akuntansi</v>
      </c>
      <c r="H317">
        <f ca="1"/>
        <v>2</v>
      </c>
      <c r="I317" s="3">
        <f ca="1"/>
        <v>3.09375</v>
      </c>
      <c r="J317" t="str">
        <f ca="1"/>
        <v>C</v>
      </c>
    </row>
    <row r="318" spans="1:10" x14ac:dyDescent="0.3">
      <c r="A318">
        <v>316</v>
      </c>
      <c r="B318" t="str">
        <f ca="1"/>
        <v>25T-A32-0010</v>
      </c>
      <c r="C318" t="str">
        <f ca="1"/>
        <v>Wahyu Ramadhan</v>
      </c>
      <c r="D318" t="str">
        <f ca="1"/>
        <v>L</v>
      </c>
      <c r="E318">
        <f ca="1"/>
        <v>2025</v>
      </c>
      <c r="F318" t="str">
        <f ca="1"/>
        <v>Ekonomi</v>
      </c>
      <c r="G318" t="str">
        <f ca="1"/>
        <v xml:space="preserve"> Akuntansi</v>
      </c>
      <c r="H318">
        <f ca="1"/>
        <v>2</v>
      </c>
      <c r="I318" s="3">
        <f ca="1"/>
        <v>3.2708333333333335</v>
      </c>
      <c r="J318" t="str">
        <f ca="1"/>
        <v>C</v>
      </c>
    </row>
    <row r="319" spans="1:10" x14ac:dyDescent="0.3">
      <c r="A319">
        <v>317</v>
      </c>
      <c r="B319" t="str">
        <f ca="1"/>
        <v>25T-A32-0011</v>
      </c>
      <c r="C319" t="str">
        <f ca="1"/>
        <v>Hana Hakim</v>
      </c>
      <c r="D319" t="str">
        <f ca="1"/>
        <v>P</v>
      </c>
      <c r="E319">
        <f ca="1"/>
        <v>2025</v>
      </c>
      <c r="F319" t="str">
        <f ca="1"/>
        <v>Ekonomi</v>
      </c>
      <c r="G319" t="str">
        <f ca="1"/>
        <v xml:space="preserve"> Akuntansi</v>
      </c>
      <c r="H319">
        <f ca="1"/>
        <v>2</v>
      </c>
      <c r="I319" s="3">
        <f ca="1"/>
        <v>2.9375</v>
      </c>
      <c r="J319" t="str">
        <f ca="1"/>
        <v>C</v>
      </c>
    </row>
    <row r="320" spans="1:10" x14ac:dyDescent="0.3">
      <c r="A320">
        <v>318</v>
      </c>
      <c r="B320" t="str">
        <f ca="1"/>
        <v>25T-A32-0012</v>
      </c>
      <c r="C320" t="str">
        <f ca="1"/>
        <v>Wisnu Firmansyah</v>
      </c>
      <c r="D320" t="str">
        <f ca="1"/>
        <v>L</v>
      </c>
      <c r="E320">
        <f ca="1"/>
        <v>2025</v>
      </c>
      <c r="F320" t="str">
        <f ca="1"/>
        <v>Ekonomi</v>
      </c>
      <c r="G320" t="str">
        <f ca="1"/>
        <v xml:space="preserve"> Akuntansi</v>
      </c>
      <c r="H320">
        <f ca="1"/>
        <v>2</v>
      </c>
      <c r="I320" s="3">
        <f ca="1"/>
        <v>3.1145833333333335</v>
      </c>
      <c r="J320" t="str">
        <f ca="1"/>
        <v>C</v>
      </c>
    </row>
    <row r="321" spans="1:10" x14ac:dyDescent="0.3">
      <c r="A321">
        <v>319</v>
      </c>
      <c r="B321" t="str">
        <f ca="1"/>
        <v>25T-A32-0013</v>
      </c>
      <c r="C321" t="str">
        <f ca="1"/>
        <v>Rizky Firmansyah</v>
      </c>
      <c r="D321" t="str">
        <f ca="1"/>
        <v>L</v>
      </c>
      <c r="E321">
        <f ca="1"/>
        <v>2025</v>
      </c>
      <c r="F321" t="str">
        <f ca="1"/>
        <v>Ekonomi</v>
      </c>
      <c r="G321" t="str">
        <f ca="1"/>
        <v xml:space="preserve"> Akuntansi</v>
      </c>
      <c r="H321">
        <f ca="1"/>
        <v>2</v>
      </c>
      <c r="I321" s="3">
        <f ca="1"/>
        <v>3.3958333333333335</v>
      </c>
      <c r="J321" t="str">
        <f ca="1"/>
        <v>C+</v>
      </c>
    </row>
    <row r="322" spans="1:10" x14ac:dyDescent="0.3">
      <c r="A322">
        <v>320</v>
      </c>
      <c r="B322" t="str">
        <f ca="1"/>
        <v>25T-A32-0014</v>
      </c>
      <c r="C322" t="str">
        <f ca="1"/>
        <v>Candra Susanto</v>
      </c>
      <c r="D322" t="str">
        <f ca="1"/>
        <v>L</v>
      </c>
      <c r="E322">
        <f ca="1"/>
        <v>2025</v>
      </c>
      <c r="F322" t="str">
        <f ca="1"/>
        <v>Ekonomi</v>
      </c>
      <c r="G322" t="str">
        <f ca="1"/>
        <v xml:space="preserve"> Akuntansi</v>
      </c>
      <c r="H322">
        <f ca="1"/>
        <v>2</v>
      </c>
      <c r="I322" s="3">
        <f ca="1"/>
        <v>3.3333333333333335</v>
      </c>
      <c r="J322" t="str">
        <f ca="1"/>
        <v>C+</v>
      </c>
    </row>
    <row r="323" spans="1:10" x14ac:dyDescent="0.3">
      <c r="A323">
        <v>321</v>
      </c>
      <c r="B323" t="str">
        <f ca="1"/>
        <v>25T-A32-0017</v>
      </c>
      <c r="C323" t="str">
        <f ca="1"/>
        <v>Vina Mardiana</v>
      </c>
      <c r="D323" t="str">
        <f ca="1"/>
        <v>P</v>
      </c>
      <c r="E323">
        <f ca="1"/>
        <v>2025</v>
      </c>
      <c r="F323" t="str">
        <f ca="1"/>
        <v>Ekonomi</v>
      </c>
      <c r="G323" t="str">
        <f ca="1"/>
        <v xml:space="preserve"> Akuntansi</v>
      </c>
      <c r="H323">
        <f ca="1"/>
        <v>2</v>
      </c>
      <c r="I323" s="3">
        <f ca="1"/>
        <v>3.75</v>
      </c>
      <c r="J323" t="str">
        <f ca="1"/>
        <v>B-</v>
      </c>
    </row>
    <row r="324" spans="1:10" x14ac:dyDescent="0.3">
      <c r="A324">
        <v>322</v>
      </c>
      <c r="B324" t="str">
        <f ca="1"/>
        <v>25T-A33-0003</v>
      </c>
      <c r="C324" t="str">
        <f ca="1"/>
        <v>Dimas Tanjung</v>
      </c>
      <c r="D324" t="str">
        <f ca="1"/>
        <v>L</v>
      </c>
      <c r="E324">
        <f ca="1"/>
        <v>2025</v>
      </c>
      <c r="F324" t="str">
        <f ca="1"/>
        <v>Ekonomi</v>
      </c>
      <c r="G324" t="str">
        <f ca="1"/>
        <v>Ekonomi Pembangunan</v>
      </c>
      <c r="H324">
        <f ca="1"/>
        <v>2</v>
      </c>
      <c r="I324" s="3">
        <f ca="1"/>
        <v>3.1666666666666665</v>
      </c>
      <c r="J324" t="str">
        <f ca="1"/>
        <v>C+</v>
      </c>
    </row>
    <row r="325" spans="1:10" x14ac:dyDescent="0.3">
      <c r="A325">
        <v>323</v>
      </c>
      <c r="B325" t="str">
        <f ca="1"/>
        <v>25T-A33-0005</v>
      </c>
      <c r="C325" t="str">
        <f ca="1"/>
        <v>Zainal Susanto</v>
      </c>
      <c r="D325" t="str">
        <f ca="1"/>
        <v>L</v>
      </c>
      <c r="E325">
        <f ca="1"/>
        <v>2025</v>
      </c>
      <c r="F325" t="str">
        <f ca="1"/>
        <v>Ekonomi</v>
      </c>
      <c r="G325" t="str">
        <f ca="1"/>
        <v>Ekonomi Pembangunan</v>
      </c>
      <c r="H325">
        <f ca="1"/>
        <v>2</v>
      </c>
      <c r="I325" s="3">
        <f ca="1"/>
        <v>3.0729166666666665</v>
      </c>
      <c r="J325" t="str">
        <f ca="1"/>
        <v>C</v>
      </c>
    </row>
    <row r="326" spans="1:10" x14ac:dyDescent="0.3">
      <c r="A326">
        <v>324</v>
      </c>
      <c r="B326" t="str">
        <f ca="1"/>
        <v>25T-A33-0006</v>
      </c>
      <c r="C326" t="str">
        <f ca="1"/>
        <v>Gita Kusnadi</v>
      </c>
      <c r="D326" t="str">
        <f ca="1"/>
        <v>P</v>
      </c>
      <c r="E326">
        <f ca="1"/>
        <v>2025</v>
      </c>
      <c r="F326" t="str">
        <f ca="1"/>
        <v>Ekonomi</v>
      </c>
      <c r="G326" t="str">
        <f ca="1"/>
        <v>Ekonomi Pembangunan</v>
      </c>
      <c r="H326">
        <f ca="1"/>
        <v>2</v>
      </c>
      <c r="I326" s="3">
        <f ca="1"/>
        <v>2.9166666666666665</v>
      </c>
      <c r="J326" t="str">
        <f ca="1"/>
        <v>C+</v>
      </c>
    </row>
    <row r="327" spans="1:10" x14ac:dyDescent="0.3">
      <c r="A327">
        <v>325</v>
      </c>
      <c r="B327" t="str">
        <f ca="1"/>
        <v>25T-A33-0009</v>
      </c>
      <c r="C327" t="str">
        <f ca="1"/>
        <v>Yana Kurnia</v>
      </c>
      <c r="D327" t="str">
        <f ca="1"/>
        <v>P</v>
      </c>
      <c r="E327">
        <f ca="1"/>
        <v>2025</v>
      </c>
      <c r="F327" t="str">
        <f ca="1"/>
        <v>Ekonomi</v>
      </c>
      <c r="G327" t="str">
        <f ca="1"/>
        <v>Ekonomi Pembangunan</v>
      </c>
      <c r="H327">
        <f ca="1"/>
        <v>2</v>
      </c>
      <c r="I327" s="3">
        <f ca="1"/>
        <v>3.1666666666666665</v>
      </c>
      <c r="J327" t="str">
        <f ca="1"/>
        <v>C</v>
      </c>
    </row>
    <row r="328" spans="1:10" x14ac:dyDescent="0.3">
      <c r="A328">
        <v>326</v>
      </c>
      <c r="B328" t="str">
        <f ca="1"/>
        <v>25T-A33-0012</v>
      </c>
      <c r="C328" t="str">
        <f ca="1"/>
        <v>Lina Lesmana</v>
      </c>
      <c r="D328" t="str">
        <f ca="1"/>
        <v>P</v>
      </c>
      <c r="E328">
        <f ca="1"/>
        <v>2025</v>
      </c>
      <c r="F328" t="str">
        <f ca="1"/>
        <v>Ekonomi</v>
      </c>
      <c r="G328" t="str">
        <f ca="1"/>
        <v>Ekonomi Pembangunan</v>
      </c>
      <c r="H328">
        <f ca="1"/>
        <v>2</v>
      </c>
      <c r="I328" s="3">
        <f ca="1"/>
        <v>3.2083333333333335</v>
      </c>
      <c r="J328" t="str">
        <f ca="1"/>
        <v>B-</v>
      </c>
    </row>
    <row r="329" spans="1:10" x14ac:dyDescent="0.3">
      <c r="A329">
        <v>327</v>
      </c>
      <c r="B329" t="str">
        <f ca="1"/>
        <v>25T-A33-0016</v>
      </c>
      <c r="C329" t="str">
        <f ca="1"/>
        <v>Rina Kusnadi</v>
      </c>
      <c r="D329" t="str">
        <f ca="1"/>
        <v>P</v>
      </c>
      <c r="E329">
        <f ca="1"/>
        <v>2025</v>
      </c>
      <c r="F329" t="str">
        <f ca="1"/>
        <v>Ekonomi</v>
      </c>
      <c r="G329" t="str">
        <f ca="1"/>
        <v>Ekonomi Pembangunan</v>
      </c>
      <c r="H329">
        <f ca="1"/>
        <v>2</v>
      </c>
      <c r="I329" s="3">
        <f ca="1"/>
        <v>3.0833333333333335</v>
      </c>
      <c r="J329" t="str">
        <f ca="1"/>
        <v>C</v>
      </c>
    </row>
    <row r="330" spans="1:10" x14ac:dyDescent="0.3">
      <c r="A330">
        <v>328</v>
      </c>
      <c r="B330" t="str">
        <f ca="1"/>
        <v>25T-A33-0018</v>
      </c>
      <c r="C330" t="str">
        <f ca="1"/>
        <v>Tono Gunawan</v>
      </c>
      <c r="D330" t="str">
        <f ca="1"/>
        <v>L</v>
      </c>
      <c r="E330">
        <f ca="1"/>
        <v>2025</v>
      </c>
      <c r="F330" t="str">
        <f ca="1"/>
        <v>Ekonomi</v>
      </c>
      <c r="G330" t="str">
        <f ca="1"/>
        <v>Ekonomi Pembangunan</v>
      </c>
      <c r="H330">
        <f ca="1"/>
        <v>2</v>
      </c>
      <c r="I330" s="3">
        <f ca="1"/>
        <v>3.625</v>
      </c>
      <c r="J330" t="str">
        <f ca="1"/>
        <v>C+</v>
      </c>
    </row>
    <row r="331" spans="1:10" x14ac:dyDescent="0.3">
      <c r="A331">
        <v>329</v>
      </c>
      <c r="B331" t="str">
        <f ca="1"/>
        <v>25T-A33-0022</v>
      </c>
      <c r="C331" t="str">
        <f ca="1"/>
        <v>Anisa Zulkarnain</v>
      </c>
      <c r="D331" t="str">
        <f ca="1"/>
        <v>P</v>
      </c>
      <c r="E331">
        <f ca="1"/>
        <v>2025</v>
      </c>
      <c r="F331" t="str">
        <f ca="1"/>
        <v>Ekonomi</v>
      </c>
      <c r="G331" t="str">
        <f ca="1"/>
        <v>Ekonomi Pembangunan</v>
      </c>
      <c r="H331">
        <f ca="1"/>
        <v>2</v>
      </c>
      <c r="I331" s="3">
        <f ca="1"/>
        <v>3.2916666666666665</v>
      </c>
      <c r="J331" t="str">
        <f ca="1"/>
        <v>B-</v>
      </c>
    </row>
    <row r="332" spans="1:10" x14ac:dyDescent="0.3">
      <c r="A332">
        <v>330</v>
      </c>
      <c r="B332" t="str">
        <f ca="1"/>
        <v>25T-A41-0001</v>
      </c>
      <c r="C332" t="str">
        <f ca="1"/>
        <v>Oscar Permana</v>
      </c>
      <c r="D332" t="str">
        <f ca="1"/>
        <v>L</v>
      </c>
      <c r="E332">
        <f ca="1"/>
        <v>2025</v>
      </c>
      <c r="F332" t="str">
        <f ca="1"/>
        <v>Pertanian</v>
      </c>
      <c r="G332" t="str">
        <f ca="1"/>
        <v>Agroteknologi</v>
      </c>
      <c r="H332">
        <f ca="1"/>
        <v>2</v>
      </c>
      <c r="I332" s="3">
        <f ca="1"/>
        <v>3.1666666666666665</v>
      </c>
      <c r="J332" t="str">
        <f ca="1"/>
        <v>C</v>
      </c>
    </row>
    <row r="333" spans="1:10" x14ac:dyDescent="0.3">
      <c r="A333">
        <v>331</v>
      </c>
      <c r="B333" t="str">
        <f ca="1"/>
        <v>25T-A41-0008</v>
      </c>
      <c r="C333" t="str">
        <f ca="1"/>
        <v>Candra Nugroho</v>
      </c>
      <c r="D333" t="str">
        <f ca="1"/>
        <v>L</v>
      </c>
      <c r="E333">
        <f ca="1"/>
        <v>2025</v>
      </c>
      <c r="F333" t="str">
        <f ca="1"/>
        <v>Pertanian</v>
      </c>
      <c r="G333" t="str">
        <f ca="1"/>
        <v>Agroteknologi</v>
      </c>
      <c r="H333">
        <f ca="1"/>
        <v>2</v>
      </c>
      <c r="I333" s="3">
        <f ca="1"/>
        <v>3.0104166666666665</v>
      </c>
      <c r="J333" t="str">
        <f ca="1"/>
        <v>C</v>
      </c>
    </row>
    <row r="334" spans="1:10" x14ac:dyDescent="0.3">
      <c r="A334">
        <v>332</v>
      </c>
      <c r="B334" t="str">
        <f ca="1"/>
        <v>25T-A42-0001</v>
      </c>
      <c r="C334" t="str">
        <f ca="1"/>
        <v>Hana Wardani</v>
      </c>
      <c r="D334" t="str">
        <f ca="1"/>
        <v>P</v>
      </c>
      <c r="E334">
        <f ca="1"/>
        <v>2025</v>
      </c>
      <c r="F334" t="str">
        <f ca="1"/>
        <v>Pertanian</v>
      </c>
      <c r="G334" t="str">
        <f ca="1"/>
        <v>Agribisnis</v>
      </c>
      <c r="H334">
        <f ca="1"/>
        <v>2</v>
      </c>
      <c r="I334" s="3">
        <f ca="1"/>
        <v>3.28125</v>
      </c>
      <c r="J334" t="str">
        <f ca="1"/>
        <v>C</v>
      </c>
    </row>
    <row r="335" spans="1:10" x14ac:dyDescent="0.3">
      <c r="A335">
        <v>333</v>
      </c>
      <c r="B335" t="str">
        <f ca="1"/>
        <v>25T-A42-0002</v>
      </c>
      <c r="C335" t="str">
        <f ca="1"/>
        <v>Ilham Junaedi</v>
      </c>
      <c r="D335" t="str">
        <f ca="1"/>
        <v>L</v>
      </c>
      <c r="E335">
        <f ca="1"/>
        <v>2025</v>
      </c>
      <c r="F335" t="str">
        <f ca="1"/>
        <v>Pertanian</v>
      </c>
      <c r="G335" t="str">
        <f ca="1"/>
        <v>Agribisnis</v>
      </c>
      <c r="H335">
        <f ca="1"/>
        <v>2</v>
      </c>
      <c r="I335" s="3">
        <f ca="1"/>
        <v>3.0416666666666665</v>
      </c>
      <c r="J335" t="str">
        <f ca="1"/>
        <v>C+</v>
      </c>
    </row>
    <row r="336" spans="1:10" x14ac:dyDescent="0.3">
      <c r="A336">
        <v>334</v>
      </c>
      <c r="B336" t="str">
        <f ca="1"/>
        <v>25T-A42-0003</v>
      </c>
      <c r="C336" t="str">
        <f ca="1"/>
        <v>Eka Maulana</v>
      </c>
      <c r="D336" t="str">
        <f ca="1"/>
        <v>P</v>
      </c>
      <c r="E336">
        <f ca="1"/>
        <v>2025</v>
      </c>
      <c r="F336" t="str">
        <f ca="1"/>
        <v>Pertanian</v>
      </c>
      <c r="G336" t="str">
        <f ca="1"/>
        <v>Agribisnis</v>
      </c>
      <c r="H336">
        <f ca="1"/>
        <v>2</v>
      </c>
      <c r="I336" s="3">
        <f ca="1"/>
        <v>3.5520833333333335</v>
      </c>
      <c r="J336" t="str">
        <f ca="1"/>
        <v>C+</v>
      </c>
    </row>
    <row r="337" spans="1:10" x14ac:dyDescent="0.3">
      <c r="A337">
        <v>335</v>
      </c>
      <c r="B337" t="str">
        <f ca="1"/>
        <v>25T-A42-0004</v>
      </c>
      <c r="C337" t="str">
        <f ca="1"/>
        <v>Hesti Rahman</v>
      </c>
      <c r="D337" t="str">
        <f ca="1"/>
        <v>P</v>
      </c>
      <c r="E337">
        <f ca="1"/>
        <v>2025</v>
      </c>
      <c r="F337" t="str">
        <f ca="1"/>
        <v>Pertanian</v>
      </c>
      <c r="G337" t="str">
        <f ca="1"/>
        <v>Agribisnis</v>
      </c>
      <c r="H337">
        <f ca="1"/>
        <v>2</v>
      </c>
      <c r="I337" s="3">
        <f ca="1"/>
        <v>3.1770833333333335</v>
      </c>
      <c r="J337" t="str">
        <f ca="1"/>
        <v>C+</v>
      </c>
    </row>
    <row r="338" spans="1:10" x14ac:dyDescent="0.3">
      <c r="A338">
        <v>336</v>
      </c>
      <c r="B338" t="str">
        <f ca="1"/>
        <v>25T-A42-0005</v>
      </c>
      <c r="C338" t="str">
        <f ca="1"/>
        <v>Erwin Octaviani</v>
      </c>
      <c r="D338" t="str">
        <f ca="1"/>
        <v>L</v>
      </c>
      <c r="E338">
        <f ca="1"/>
        <v>2025</v>
      </c>
      <c r="F338" t="str">
        <f ca="1"/>
        <v>Pertanian</v>
      </c>
      <c r="G338" t="str">
        <f ca="1"/>
        <v>Agribisnis</v>
      </c>
      <c r="H338">
        <f ca="1"/>
        <v>2</v>
      </c>
      <c r="I338" s="3">
        <f ca="1"/>
        <v>3.2708333333333335</v>
      </c>
      <c r="J338" t="str">
        <f ca="1"/>
        <v>C</v>
      </c>
    </row>
    <row r="339" spans="1:10" x14ac:dyDescent="0.3">
      <c r="A339">
        <v>337</v>
      </c>
      <c r="B339" t="str">
        <f ca="1"/>
        <v>25T-A42-0007</v>
      </c>
      <c r="C339" t="str">
        <f ca="1"/>
        <v>Putra Halim</v>
      </c>
      <c r="D339" t="str">
        <f ca="1"/>
        <v>L</v>
      </c>
      <c r="E339">
        <f ca="1"/>
        <v>2025</v>
      </c>
      <c r="F339" t="str">
        <f ca="1"/>
        <v>Pertanian</v>
      </c>
      <c r="G339" t="str">
        <f ca="1"/>
        <v>Agribisnis</v>
      </c>
      <c r="H339">
        <f ca="1"/>
        <v>2</v>
      </c>
      <c r="I339" s="3">
        <f ca="1"/>
        <v>3.4479166666666665</v>
      </c>
      <c r="J339" t="str">
        <f ca="1"/>
        <v>C</v>
      </c>
    </row>
    <row r="340" spans="1:10" x14ac:dyDescent="0.3">
      <c r="A340">
        <v>338</v>
      </c>
      <c r="B340" t="str">
        <f ca="1"/>
        <v>25T-A42-0008</v>
      </c>
      <c r="C340" t="str">
        <f ca="1"/>
        <v>Sandi Irawan</v>
      </c>
      <c r="D340" t="str">
        <f ca="1"/>
        <v>L</v>
      </c>
      <c r="E340">
        <f ca="1"/>
        <v>2025</v>
      </c>
      <c r="F340" t="str">
        <f ca="1"/>
        <v>Pertanian</v>
      </c>
      <c r="G340" t="str">
        <f ca="1"/>
        <v>Agribisnis</v>
      </c>
      <c r="H340">
        <f ca="1"/>
        <v>2</v>
      </c>
      <c r="I340" s="3">
        <f ca="1"/>
        <v>3.25</v>
      </c>
      <c r="J340" t="str">
        <f ca="1"/>
        <v>C+</v>
      </c>
    </row>
    <row r="341" spans="1:10" x14ac:dyDescent="0.3">
      <c r="A341">
        <v>339</v>
      </c>
      <c r="B341" t="str">
        <f ca="1"/>
        <v>25T-A42-0009</v>
      </c>
      <c r="C341" t="str">
        <f ca="1"/>
        <v>Intan Rahman</v>
      </c>
      <c r="D341" t="str">
        <f ca="1"/>
        <v>P</v>
      </c>
      <c r="E341">
        <f ca="1"/>
        <v>2025</v>
      </c>
      <c r="F341" t="str">
        <f ca="1"/>
        <v>Pertanian</v>
      </c>
      <c r="G341" t="str">
        <f ca="1"/>
        <v>Agribisnis</v>
      </c>
      <c r="H341">
        <f ca="1"/>
        <v>2</v>
      </c>
      <c r="I341" s="3">
        <f ca="1"/>
        <v>3.1666666666666665</v>
      </c>
      <c r="J341" t="str">
        <f ca="1"/>
        <v>B-</v>
      </c>
    </row>
    <row r="342" spans="1:10" x14ac:dyDescent="0.3">
      <c r="A342">
        <v>340</v>
      </c>
      <c r="B342" t="str">
        <f ca="1"/>
        <v>25T-A42-0011</v>
      </c>
      <c r="C342" t="str">
        <f ca="1"/>
        <v>Farah Rahman</v>
      </c>
      <c r="D342" t="str">
        <f ca="1"/>
        <v>P</v>
      </c>
      <c r="E342">
        <f ca="1"/>
        <v>2025</v>
      </c>
      <c r="F342" t="str">
        <f ca="1"/>
        <v>Pertanian</v>
      </c>
      <c r="G342" t="str">
        <f ca="1"/>
        <v>Agribisnis</v>
      </c>
      <c r="H342">
        <f ca="1"/>
        <v>2</v>
      </c>
      <c r="I342" s="3">
        <f ca="1"/>
        <v>3.4895833333333335</v>
      </c>
      <c r="J342" t="str">
        <f ca="1"/>
        <v>B-</v>
      </c>
    </row>
    <row r="343" spans="1:10" x14ac:dyDescent="0.3">
      <c r="A343">
        <v>341</v>
      </c>
      <c r="B343" t="str">
        <f ca="1"/>
        <v>25T-A42-0015</v>
      </c>
      <c r="C343" t="str">
        <f ca="1"/>
        <v>Elsa Kusuma</v>
      </c>
      <c r="D343" t="str">
        <f ca="1"/>
        <v>P</v>
      </c>
      <c r="E343">
        <f ca="1"/>
        <v>2025</v>
      </c>
      <c r="F343" t="str">
        <f ca="1"/>
        <v>Pertanian</v>
      </c>
      <c r="G343" t="str">
        <f ca="1"/>
        <v>Agribisnis</v>
      </c>
      <c r="H343">
        <f ca="1"/>
        <v>2</v>
      </c>
      <c r="I343" s="3">
        <f ca="1"/>
        <v>3.25</v>
      </c>
      <c r="J343" t="str">
        <f ca="1"/>
        <v>C+</v>
      </c>
    </row>
    <row r="344" spans="1:10" x14ac:dyDescent="0.3">
      <c r="A344">
        <v>342</v>
      </c>
      <c r="B344" t="str">
        <f ca="1"/>
        <v>25T-A51-0001</v>
      </c>
      <c r="C344" t="str">
        <f ca="1"/>
        <v>Wisnu Nasution</v>
      </c>
      <c r="D344" t="str">
        <f ca="1"/>
        <v>L</v>
      </c>
      <c r="E344">
        <f ca="1"/>
        <v>2025</v>
      </c>
      <c r="F344" t="str">
        <f ca="1"/>
        <v>Ilmu Sosial</v>
      </c>
      <c r="G344" t="str">
        <f ca="1"/>
        <v>Administrasi Publik</v>
      </c>
      <c r="H344">
        <f ca="1"/>
        <v>2</v>
      </c>
      <c r="I344" s="3">
        <f ca="1"/>
        <v>2.8125</v>
      </c>
      <c r="J344" t="str">
        <f ca="1"/>
        <v>C</v>
      </c>
    </row>
    <row r="345" spans="1:10" x14ac:dyDescent="0.3">
      <c r="A345">
        <v>343</v>
      </c>
      <c r="B345" t="str">
        <f ca="1"/>
        <v>25T-A51-0004</v>
      </c>
      <c r="C345" t="str">
        <f ca="1"/>
        <v>Farah Oktavianus</v>
      </c>
      <c r="D345" t="str">
        <f ca="1"/>
        <v>P</v>
      </c>
      <c r="E345">
        <f ca="1"/>
        <v>2025</v>
      </c>
      <c r="F345" t="str">
        <f ca="1"/>
        <v>Ilmu Sosial</v>
      </c>
      <c r="G345" t="str">
        <f ca="1"/>
        <v>Administrasi Publik</v>
      </c>
      <c r="H345">
        <f ca="1"/>
        <v>2</v>
      </c>
      <c r="I345" s="3">
        <f ca="1"/>
        <v>3.28125</v>
      </c>
      <c r="J345" t="str">
        <f ca="1"/>
        <v>B</v>
      </c>
    </row>
    <row r="346" spans="1:10" x14ac:dyDescent="0.3">
      <c r="A346">
        <v>344</v>
      </c>
      <c r="B346" t="str">
        <f ca="1"/>
        <v>25T-A51-0005</v>
      </c>
      <c r="C346" t="str">
        <f ca="1"/>
        <v>Dinda Prasetyo</v>
      </c>
      <c r="D346" t="str">
        <f ca="1"/>
        <v>P</v>
      </c>
      <c r="E346">
        <f ca="1"/>
        <v>2025</v>
      </c>
      <c r="F346" t="str">
        <f ca="1"/>
        <v>Ilmu Sosial</v>
      </c>
      <c r="G346" t="str">
        <f ca="1"/>
        <v>Administrasi Publik</v>
      </c>
      <c r="H346">
        <f ca="1"/>
        <v>2</v>
      </c>
      <c r="I346" s="3">
        <f ca="1"/>
        <v>3.1145833333333335</v>
      </c>
      <c r="J346" t="str">
        <f ca="1"/>
        <v>C+</v>
      </c>
    </row>
    <row r="347" spans="1:10" x14ac:dyDescent="0.3">
      <c r="A347">
        <v>345</v>
      </c>
      <c r="B347" t="str">
        <f ca="1"/>
        <v>25T-A51-0006</v>
      </c>
      <c r="C347" t="str">
        <f ca="1"/>
        <v>Eka Permana</v>
      </c>
      <c r="D347" t="str">
        <f ca="1"/>
        <v>P</v>
      </c>
      <c r="E347">
        <f ca="1"/>
        <v>2025</v>
      </c>
      <c r="F347" t="str">
        <f ca="1"/>
        <v>Ilmu Sosial</v>
      </c>
      <c r="G347" t="str">
        <f ca="1"/>
        <v>Administrasi Publik</v>
      </c>
      <c r="H347">
        <f ca="1"/>
        <v>2</v>
      </c>
      <c r="I347" s="3">
        <f ca="1"/>
        <v>3.0729166666666665</v>
      </c>
      <c r="J347" t="str">
        <f ca="1"/>
        <v>C</v>
      </c>
    </row>
    <row r="348" spans="1:10" x14ac:dyDescent="0.3">
      <c r="A348">
        <v>346</v>
      </c>
      <c r="B348" t="str">
        <f ca="1"/>
        <v>25T-A51-0007</v>
      </c>
      <c r="C348" t="str">
        <f ca="1"/>
        <v>Ahmad Tanjung</v>
      </c>
      <c r="D348" t="str">
        <f ca="1"/>
        <v>L</v>
      </c>
      <c r="E348">
        <f ca="1"/>
        <v>2025</v>
      </c>
      <c r="F348" t="str">
        <f ca="1"/>
        <v>Ilmu Sosial</v>
      </c>
      <c r="G348" t="str">
        <f ca="1"/>
        <v>Administrasi Publik</v>
      </c>
      <c r="H348">
        <f ca="1"/>
        <v>2</v>
      </c>
      <c r="I348" s="3">
        <f ca="1"/>
        <v>3.0520833333333335</v>
      </c>
      <c r="J348" t="str">
        <f ca="1"/>
        <v>C+</v>
      </c>
    </row>
    <row r="349" spans="1:10" x14ac:dyDescent="0.3">
      <c r="A349">
        <v>347</v>
      </c>
      <c r="B349" t="str">
        <f ca="1"/>
        <v>25T-A51-0008</v>
      </c>
      <c r="C349" t="str">
        <f ca="1"/>
        <v>Winda Lubis</v>
      </c>
      <c r="D349" t="str">
        <f ca="1"/>
        <v>P</v>
      </c>
      <c r="E349">
        <f ca="1"/>
        <v>2025</v>
      </c>
      <c r="F349" t="str">
        <f ca="1"/>
        <v>Ilmu Sosial</v>
      </c>
      <c r="G349" t="str">
        <f ca="1"/>
        <v>Administrasi Publik</v>
      </c>
      <c r="H349">
        <f ca="1"/>
        <v>2</v>
      </c>
      <c r="I349" s="3">
        <f ca="1"/>
        <v>3.0208333333333335</v>
      </c>
      <c r="J349" t="str">
        <f ca="1"/>
        <v>C+</v>
      </c>
    </row>
    <row r="350" spans="1:10" x14ac:dyDescent="0.3">
      <c r="A350">
        <v>348</v>
      </c>
      <c r="B350" t="str">
        <f ca="1"/>
        <v>25T-A51-0011</v>
      </c>
      <c r="C350" t="str">
        <f ca="1"/>
        <v>Naufal Yulianto</v>
      </c>
      <c r="D350" t="str">
        <f ca="1"/>
        <v>L</v>
      </c>
      <c r="E350">
        <f ca="1"/>
        <v>2025</v>
      </c>
      <c r="F350" t="str">
        <f ca="1"/>
        <v>Ilmu Sosial</v>
      </c>
      <c r="G350" t="str">
        <f ca="1"/>
        <v>Administrasi Publik</v>
      </c>
      <c r="H350">
        <f ca="1"/>
        <v>2</v>
      </c>
      <c r="I350" s="3">
        <f ca="1"/>
        <v>2.8125</v>
      </c>
      <c r="J350" t="str">
        <f ca="1"/>
        <v>C</v>
      </c>
    </row>
    <row r="351" spans="1:10" x14ac:dyDescent="0.3">
      <c r="A351">
        <v>349</v>
      </c>
      <c r="B351" t="str">
        <f ca="1"/>
        <v>25T-A51-0013</v>
      </c>
      <c r="C351" t="str">
        <f ca="1"/>
        <v>Surya Saputra</v>
      </c>
      <c r="D351" t="str">
        <f ca="1"/>
        <v>L</v>
      </c>
      <c r="E351">
        <f ca="1"/>
        <v>2025</v>
      </c>
      <c r="F351" t="str">
        <f ca="1"/>
        <v>Ilmu Sosial</v>
      </c>
      <c r="G351" t="str">
        <f ca="1"/>
        <v>Administrasi Publik</v>
      </c>
      <c r="H351">
        <f ca="1"/>
        <v>2</v>
      </c>
      <c r="I351" s="3">
        <f ca="1"/>
        <v>2.8333333333333335</v>
      </c>
      <c r="J351" t="str">
        <f ca="1"/>
        <v>C</v>
      </c>
    </row>
    <row r="352" spans="1:10" x14ac:dyDescent="0.3">
      <c r="A352">
        <v>350</v>
      </c>
      <c r="B352" t="str">
        <f ca="1"/>
        <v>25T-A51-0014</v>
      </c>
      <c r="C352" t="str">
        <f ca="1"/>
        <v>Hana Santoso</v>
      </c>
      <c r="D352" t="str">
        <f ca="1"/>
        <v>P</v>
      </c>
      <c r="E352">
        <f ca="1"/>
        <v>2025</v>
      </c>
      <c r="F352" t="str">
        <f ca="1"/>
        <v>Ilmu Sosial</v>
      </c>
      <c r="G352" t="str">
        <f ca="1"/>
        <v>Administrasi Publik</v>
      </c>
      <c r="H352">
        <f ca="1"/>
        <v>2</v>
      </c>
      <c r="I352" s="3">
        <f ca="1"/>
        <v>3.375</v>
      </c>
      <c r="J352" t="str">
        <f ca="1"/>
        <v>C</v>
      </c>
    </row>
    <row r="353" spans="1:10" x14ac:dyDescent="0.3">
      <c r="A353">
        <v>351</v>
      </c>
      <c r="B353" t="str">
        <f ca="1"/>
        <v>25T-A52-0001</v>
      </c>
      <c r="C353" t="str">
        <f ca="1"/>
        <v>Tuti Octaviani</v>
      </c>
      <c r="D353" t="str">
        <f ca="1"/>
        <v>P</v>
      </c>
      <c r="E353">
        <f ca="1"/>
        <v>2025</v>
      </c>
      <c r="F353" t="str">
        <f ca="1"/>
        <v>Ilmu Sosial</v>
      </c>
      <c r="G353" t="str">
        <f ca="1"/>
        <v xml:space="preserve"> Ilmu Komunikasi</v>
      </c>
      <c r="H353">
        <f ca="1"/>
        <v>2</v>
      </c>
      <c r="I353" s="3">
        <f ca="1"/>
        <v>3.375</v>
      </c>
      <c r="J353" t="str">
        <f ca="1"/>
        <v>C+</v>
      </c>
    </row>
    <row r="354" spans="1:10" x14ac:dyDescent="0.3">
      <c r="A354">
        <v>352</v>
      </c>
      <c r="B354" t="str">
        <f ca="1"/>
        <v>25T-A52-0002</v>
      </c>
      <c r="C354" t="str">
        <f ca="1"/>
        <v>Lina Kurnia</v>
      </c>
      <c r="D354" t="str">
        <f ca="1"/>
        <v>P</v>
      </c>
      <c r="E354">
        <f ca="1"/>
        <v>2025</v>
      </c>
      <c r="F354" t="str">
        <f ca="1"/>
        <v>Ilmu Sosial</v>
      </c>
      <c r="G354" t="str">
        <f ca="1"/>
        <v xml:space="preserve"> Ilmu Komunikasi</v>
      </c>
      <c r="H354">
        <f ca="1"/>
        <v>2</v>
      </c>
      <c r="I354" s="3">
        <f ca="1"/>
        <v>3.1979166666666665</v>
      </c>
      <c r="J354" t="str">
        <f ca="1"/>
        <v>C</v>
      </c>
    </row>
    <row r="355" spans="1:10" x14ac:dyDescent="0.3">
      <c r="A355">
        <v>353</v>
      </c>
      <c r="B355" t="str">
        <f ca="1"/>
        <v>25T-A52-0003</v>
      </c>
      <c r="C355" t="str">
        <f ca="1"/>
        <v>Kartika Rahman</v>
      </c>
      <c r="D355" t="str">
        <f ca="1"/>
        <v>P</v>
      </c>
      <c r="E355">
        <f ca="1"/>
        <v>2025</v>
      </c>
      <c r="F355" t="str">
        <f ca="1"/>
        <v>Ilmu Sosial</v>
      </c>
      <c r="G355" t="str">
        <f ca="1"/>
        <v xml:space="preserve"> Ilmu Komunikasi</v>
      </c>
      <c r="H355">
        <f ca="1"/>
        <v>2</v>
      </c>
      <c r="I355" s="3">
        <f ca="1"/>
        <v>3.1875</v>
      </c>
      <c r="J355" t="str">
        <f ca="1"/>
        <v>B-</v>
      </c>
    </row>
    <row r="356" spans="1:10" x14ac:dyDescent="0.3">
      <c r="A356">
        <v>354</v>
      </c>
      <c r="B356" t="str">
        <f ca="1"/>
        <v>25T-A52-0005</v>
      </c>
      <c r="C356" t="str">
        <f ca="1"/>
        <v>Fitri Tanjung</v>
      </c>
      <c r="D356" t="str">
        <f ca="1"/>
        <v>P</v>
      </c>
      <c r="E356">
        <f ca="1"/>
        <v>2025</v>
      </c>
      <c r="F356" t="str">
        <f ca="1"/>
        <v>Ilmu Sosial</v>
      </c>
      <c r="G356" t="str">
        <f ca="1"/>
        <v xml:space="preserve"> Ilmu Komunikasi</v>
      </c>
      <c r="H356">
        <f ca="1"/>
        <v>2</v>
      </c>
      <c r="I356" s="3">
        <f ca="1"/>
        <v>3</v>
      </c>
      <c r="J356" t="str">
        <f ca="1"/>
        <v>C</v>
      </c>
    </row>
    <row r="357" spans="1:10" x14ac:dyDescent="0.3">
      <c r="A357">
        <v>355</v>
      </c>
      <c r="B357" t="str">
        <f ca="1"/>
        <v>25T-A52-0007</v>
      </c>
      <c r="C357" t="str">
        <f ca="1"/>
        <v>Cinta Gunawan</v>
      </c>
      <c r="D357" t="str">
        <f ca="1"/>
        <v>P</v>
      </c>
      <c r="E357">
        <f ca="1"/>
        <v>2025</v>
      </c>
      <c r="F357" t="str">
        <f ca="1"/>
        <v>Ilmu Sosial</v>
      </c>
      <c r="G357" t="str">
        <f ca="1"/>
        <v xml:space="preserve"> Ilmu Komunikasi</v>
      </c>
      <c r="H357">
        <f ca="1"/>
        <v>2</v>
      </c>
      <c r="I357" s="3">
        <f ca="1"/>
        <v>2.9479166666666665</v>
      </c>
      <c r="J357" t="str">
        <f ca="1"/>
        <v>C+</v>
      </c>
    </row>
    <row r="358" spans="1:10" x14ac:dyDescent="0.3">
      <c r="A358">
        <v>356</v>
      </c>
      <c r="B358" t="str">
        <f ca="1"/>
        <v>25T-A52-0010</v>
      </c>
      <c r="C358" t="str">
        <f ca="1"/>
        <v>Diah Lubis</v>
      </c>
      <c r="D358" t="str">
        <f ca="1"/>
        <v>P</v>
      </c>
      <c r="E358">
        <f ca="1"/>
        <v>2025</v>
      </c>
      <c r="F358" t="str">
        <f ca="1"/>
        <v>Ilmu Sosial</v>
      </c>
      <c r="G358" t="str">
        <f ca="1"/>
        <v xml:space="preserve"> Ilmu Komunikasi</v>
      </c>
      <c r="H358">
        <f ca="1"/>
        <v>2</v>
      </c>
      <c r="I358" s="3">
        <f ca="1"/>
        <v>3.0416666666666665</v>
      </c>
      <c r="J358" t="str">
        <f ca="1"/>
        <v>C</v>
      </c>
    </row>
    <row r="359" spans="1:10" x14ac:dyDescent="0.3">
      <c r="A359">
        <v>357</v>
      </c>
      <c r="B359" t="str">
        <f ca="1"/>
        <v>25T-A52-0013</v>
      </c>
      <c r="C359" t="str">
        <f ca="1"/>
        <v>Zahra Pratama</v>
      </c>
      <c r="D359" t="str">
        <f ca="1"/>
        <v>P</v>
      </c>
      <c r="E359">
        <f ca="1"/>
        <v>2025</v>
      </c>
      <c r="F359" t="str">
        <f ca="1"/>
        <v>Ilmu Sosial</v>
      </c>
      <c r="G359" t="str">
        <f ca="1"/>
        <v xml:space="preserve"> Ilmu Komunikasi</v>
      </c>
      <c r="H359">
        <f ca="1"/>
        <v>2</v>
      </c>
      <c r="I359" s="3">
        <f ca="1"/>
        <v>3.25</v>
      </c>
      <c r="J359" t="str">
        <f ca="1"/>
        <v>C+</v>
      </c>
    </row>
    <row r="360" spans="1:10" x14ac:dyDescent="0.3">
      <c r="A360">
        <v>358</v>
      </c>
      <c r="B360" t="str">
        <f ca="1"/>
        <v>25T-A52-0015</v>
      </c>
      <c r="C360" t="str">
        <f ca="1"/>
        <v>Rafi Zulkarnain</v>
      </c>
      <c r="D360" t="str">
        <f ca="1"/>
        <v>L</v>
      </c>
      <c r="E360">
        <f ca="1"/>
        <v>2025</v>
      </c>
      <c r="F360" t="str">
        <f ca="1"/>
        <v>Ilmu Sosial</v>
      </c>
      <c r="G360" t="str">
        <f ca="1"/>
        <v xml:space="preserve"> Ilmu Komunikasi</v>
      </c>
      <c r="H360">
        <f ca="1"/>
        <v>2</v>
      </c>
      <c r="I360" s="3">
        <f ca="1"/>
        <v>3.1875</v>
      </c>
      <c r="J360" t="str">
        <f ca="1"/>
        <v>B-</v>
      </c>
    </row>
    <row r="361" spans="1:10" x14ac:dyDescent="0.3">
      <c r="A361">
        <v>359</v>
      </c>
      <c r="B361" t="str">
        <f ca="1"/>
        <v>25T-A52-0016</v>
      </c>
      <c r="C361" t="str">
        <f ca="1"/>
        <v>Yuni Wardani</v>
      </c>
      <c r="D361" t="str">
        <f ca="1"/>
        <v>P</v>
      </c>
      <c r="E361">
        <f ca="1"/>
        <v>2025</v>
      </c>
      <c r="F361" t="str">
        <f ca="1"/>
        <v>Ilmu Sosial</v>
      </c>
      <c r="G361" t="str">
        <f ca="1"/>
        <v xml:space="preserve"> Ilmu Komunikasi</v>
      </c>
      <c r="H361">
        <f ca="1"/>
        <v>2</v>
      </c>
      <c r="I361" s="3">
        <f ca="1"/>
        <v>3.4270833333333335</v>
      </c>
      <c r="J361" t="str">
        <f ca="1"/>
        <v>B-</v>
      </c>
    </row>
    <row r="362" spans="1:10" x14ac:dyDescent="0.3">
      <c r="A362">
        <v>360</v>
      </c>
      <c r="B362" t="str">
        <f ca="1"/>
        <v>25T-A52-0017</v>
      </c>
      <c r="C362" t="str">
        <f ca="1"/>
        <v>Yuni Ramadhan</v>
      </c>
      <c r="D362" t="str">
        <f ca="1"/>
        <v>P</v>
      </c>
      <c r="E362">
        <f ca="1"/>
        <v>2025</v>
      </c>
      <c r="F362" t="str">
        <f ca="1"/>
        <v>Ilmu Sosial</v>
      </c>
      <c r="G362" t="str">
        <f ca="1"/>
        <v xml:space="preserve"> Ilmu Komunikasi</v>
      </c>
      <c r="H362">
        <f ca="1"/>
        <v>2</v>
      </c>
      <c r="I362" s="3">
        <f ca="1"/>
        <v>3.0416666666666665</v>
      </c>
      <c r="J362" t="str">
        <f ca="1"/>
        <v>C+</v>
      </c>
    </row>
    <row r="363" spans="1:10" x14ac:dyDescent="0.3">
      <c r="A363">
        <v>361</v>
      </c>
      <c r="B363" t="str">
        <f ca="1"/>
        <v>25T-A52-0018</v>
      </c>
      <c r="C363" t="str">
        <f ca="1"/>
        <v>Jefri Gunawan</v>
      </c>
      <c r="D363" t="str">
        <f ca="1"/>
        <v>L</v>
      </c>
      <c r="E363">
        <f ca="1"/>
        <v>2025</v>
      </c>
      <c r="F363" t="str">
        <f ca="1"/>
        <v>Ilmu Sosial</v>
      </c>
      <c r="G363" t="str">
        <f ca="1"/>
        <v xml:space="preserve"> Ilmu Komunikasi</v>
      </c>
      <c r="H363">
        <f ca="1"/>
        <v>2</v>
      </c>
      <c r="I363" s="3">
        <f ca="1"/>
        <v>3.2083333333333335</v>
      </c>
      <c r="J363" t="str">
        <f ca="1"/>
        <v>C+</v>
      </c>
    </row>
    <row r="364" spans="1:10" x14ac:dyDescent="0.3">
      <c r="A364">
        <v>362</v>
      </c>
      <c r="B364" t="str">
        <f ca="1"/>
        <v>25T-A53-0002</v>
      </c>
      <c r="C364" t="str">
        <f ca="1"/>
        <v>Miftah Rahman</v>
      </c>
      <c r="D364" t="str">
        <f ca="1"/>
        <v>L</v>
      </c>
      <c r="E364">
        <f ca="1"/>
        <v>2025</v>
      </c>
      <c r="F364" t="str">
        <f ca="1"/>
        <v>Ilmu Sosial</v>
      </c>
      <c r="G364" t="str">
        <f ca="1"/>
        <v>Sosiologi</v>
      </c>
      <c r="H364">
        <f ca="1"/>
        <v>2</v>
      </c>
      <c r="I364" s="3">
        <f ca="1"/>
        <v>3.0520833333333335</v>
      </c>
      <c r="J364" t="str">
        <f ca="1"/>
        <v>C</v>
      </c>
    </row>
    <row r="365" spans="1:10" x14ac:dyDescent="0.3">
      <c r="A365">
        <v>363</v>
      </c>
      <c r="B365" t="str">
        <f ca="1"/>
        <v>25T-A53-0003</v>
      </c>
      <c r="C365" t="str">
        <f ca="1"/>
        <v>Rafi Lubis</v>
      </c>
      <c r="D365" t="str">
        <f ca="1"/>
        <v>L</v>
      </c>
      <c r="E365">
        <f ca="1"/>
        <v>2025</v>
      </c>
      <c r="F365" t="str">
        <f ca="1"/>
        <v>Ilmu Sosial</v>
      </c>
      <c r="G365" t="str">
        <f ca="1"/>
        <v>Sosiologi</v>
      </c>
      <c r="H365">
        <f ca="1"/>
        <v>2</v>
      </c>
      <c r="I365" s="3">
        <f ca="1"/>
        <v>2.9166666666666665</v>
      </c>
      <c r="J365" t="str">
        <f ca="1"/>
        <v>C</v>
      </c>
    </row>
    <row r="366" spans="1:10" x14ac:dyDescent="0.3">
      <c r="A366">
        <v>364</v>
      </c>
      <c r="B366" t="str">
        <f ca="1"/>
        <v>25T-A53-0004</v>
      </c>
      <c r="C366" t="str">
        <f ca="1"/>
        <v>Dimas Yusnita</v>
      </c>
      <c r="D366" t="str">
        <f ca="1"/>
        <v>L</v>
      </c>
      <c r="E366">
        <f ca="1"/>
        <v>2025</v>
      </c>
      <c r="F366" t="str">
        <f ca="1"/>
        <v>Ilmu Sosial</v>
      </c>
      <c r="G366" t="str">
        <f ca="1"/>
        <v>Sosiologi</v>
      </c>
      <c r="H366">
        <f ca="1"/>
        <v>2</v>
      </c>
      <c r="I366" s="3">
        <f ca="1"/>
        <v>3.7604166666666665</v>
      </c>
      <c r="J366" t="str">
        <f ca="1"/>
        <v>B</v>
      </c>
    </row>
    <row r="367" spans="1:10" x14ac:dyDescent="0.3">
      <c r="A367">
        <v>365</v>
      </c>
      <c r="B367" t="str">
        <f ca="1"/>
        <v>25T-A53-0006</v>
      </c>
      <c r="C367" t="str">
        <f ca="1"/>
        <v>Jihan Octaviani</v>
      </c>
      <c r="D367" t="str">
        <f ca="1"/>
        <v>P</v>
      </c>
      <c r="E367">
        <f ca="1"/>
        <v>2025</v>
      </c>
      <c r="F367" t="str">
        <f ca="1"/>
        <v>Ilmu Sosial</v>
      </c>
      <c r="G367" t="str">
        <f ca="1"/>
        <v>Sosiologi</v>
      </c>
      <c r="H367">
        <f ca="1"/>
        <v>2</v>
      </c>
      <c r="I367" s="3">
        <f ca="1"/>
        <v>2.8229166666666665</v>
      </c>
      <c r="J367" t="str">
        <f ca="1"/>
        <v>C</v>
      </c>
    </row>
    <row r="368" spans="1:10" x14ac:dyDescent="0.3">
      <c r="A368">
        <v>366</v>
      </c>
      <c r="B368" t="str">
        <f ca="1"/>
        <v>25T-A53-0008</v>
      </c>
      <c r="C368" t="str">
        <f ca="1"/>
        <v>Nanda Setiawan</v>
      </c>
      <c r="D368" t="str">
        <f ca="1"/>
        <v>L</v>
      </c>
      <c r="E368">
        <f ca="1"/>
        <v>2025</v>
      </c>
      <c r="F368" t="str">
        <f ca="1"/>
        <v>Ilmu Sosial</v>
      </c>
      <c r="G368" t="str">
        <f ca="1"/>
        <v>Sosiologi</v>
      </c>
      <c r="H368">
        <f ca="1"/>
        <v>2</v>
      </c>
      <c r="I368" s="3">
        <f ca="1"/>
        <v>3.375</v>
      </c>
      <c r="J368" t="str">
        <f ca="1"/>
        <v>C+</v>
      </c>
    </row>
    <row r="369" spans="1:10" x14ac:dyDescent="0.3">
      <c r="A369">
        <v>367</v>
      </c>
      <c r="B369" t="str">
        <f ca="1"/>
        <v>25T-A53-0010</v>
      </c>
      <c r="C369" t="str">
        <f ca="1"/>
        <v>Oki Firmansyah</v>
      </c>
      <c r="D369" t="str">
        <f ca="1"/>
        <v>L</v>
      </c>
      <c r="E369">
        <f ca="1"/>
        <v>2025</v>
      </c>
      <c r="F369" t="str">
        <f ca="1"/>
        <v>Ilmu Sosial</v>
      </c>
      <c r="G369" t="str">
        <f ca="1"/>
        <v>Sosiologi</v>
      </c>
      <c r="H369">
        <f ca="1"/>
        <v>2</v>
      </c>
      <c r="I369" s="3">
        <f ca="1"/>
        <v>3.3645833333333335</v>
      </c>
      <c r="J369" t="str">
        <f ca="1"/>
        <v>B-</v>
      </c>
    </row>
    <row r="370" spans="1:10" x14ac:dyDescent="0.3">
      <c r="A370">
        <v>368</v>
      </c>
      <c r="B370" t="str">
        <f ca="1"/>
        <v>25T-A53-0011</v>
      </c>
      <c r="C370" t="str">
        <f ca="1"/>
        <v>Ani Hakim</v>
      </c>
      <c r="D370" t="str">
        <f ca="1"/>
        <v>P</v>
      </c>
      <c r="E370">
        <f ca="1"/>
        <v>2025</v>
      </c>
      <c r="F370" t="str">
        <f ca="1"/>
        <v>Ilmu Sosial</v>
      </c>
      <c r="G370" t="str">
        <f ca="1"/>
        <v>Sosiologi</v>
      </c>
      <c r="H370">
        <f ca="1"/>
        <v>2</v>
      </c>
      <c r="I370" s="3">
        <f ca="1"/>
        <v>2.7916666666666665</v>
      </c>
      <c r="J370" t="str">
        <f ca="1"/>
        <v>C</v>
      </c>
    </row>
    <row r="371" spans="1:10" x14ac:dyDescent="0.3">
      <c r="A371">
        <v>369</v>
      </c>
      <c r="B371" t="str">
        <f ca="1"/>
        <v>25T-A53-0012</v>
      </c>
      <c r="C371" t="str">
        <f ca="1"/>
        <v>Dewi Zulkarnain</v>
      </c>
      <c r="D371" t="str">
        <f ca="1"/>
        <v>P</v>
      </c>
      <c r="E371">
        <f ca="1"/>
        <v>2025</v>
      </c>
      <c r="F371" t="str">
        <f ca="1"/>
        <v>Ilmu Sosial</v>
      </c>
      <c r="G371" t="str">
        <f ca="1"/>
        <v>Sosiologi</v>
      </c>
      <c r="H371">
        <f ca="1"/>
        <v>2</v>
      </c>
      <c r="I371" s="3">
        <f ca="1"/>
        <v>3.4895833333333335</v>
      </c>
      <c r="J371" t="str">
        <f ca="1"/>
        <v>B-</v>
      </c>
    </row>
    <row r="372" spans="1:10" x14ac:dyDescent="0.3">
      <c r="A372">
        <v>370</v>
      </c>
      <c r="B372" t="str">
        <f ca="1"/>
        <v>25T-A53-0013</v>
      </c>
      <c r="C372" t="str">
        <f ca="1"/>
        <v>Lina Nurdin</v>
      </c>
      <c r="D372" t="str">
        <f ca="1"/>
        <v>P</v>
      </c>
      <c r="E372">
        <f ca="1"/>
        <v>2025</v>
      </c>
      <c r="F372" t="str">
        <f ca="1"/>
        <v>Ilmu Sosial</v>
      </c>
      <c r="G372" t="str">
        <f ca="1"/>
        <v>Sosiologi</v>
      </c>
      <c r="H372">
        <f ca="1"/>
        <v>2</v>
      </c>
      <c r="I372" s="3">
        <f ca="1"/>
        <v>3.25</v>
      </c>
      <c r="J372" t="str">
        <f ca="1"/>
        <v>C+</v>
      </c>
    </row>
    <row r="373" spans="1:10" x14ac:dyDescent="0.3">
      <c r="A373">
        <v>371</v>
      </c>
      <c r="B373" t="str">
        <f ca="1"/>
        <v>25T-A53-0014</v>
      </c>
      <c r="C373" t="str">
        <f ca="1"/>
        <v>Ayu Wibowo</v>
      </c>
      <c r="D373" t="str">
        <f ca="1"/>
        <v>P</v>
      </c>
      <c r="E373">
        <f ca="1"/>
        <v>2025</v>
      </c>
      <c r="F373" t="str">
        <f ca="1"/>
        <v>Ilmu Sosial</v>
      </c>
      <c r="G373" t="str">
        <f ca="1"/>
        <v>Sosiologi</v>
      </c>
      <c r="H373">
        <f ca="1"/>
        <v>2</v>
      </c>
      <c r="I373" s="3">
        <f ca="1"/>
        <v>2.8541666666666665</v>
      </c>
      <c r="J373" t="str">
        <f ca="1"/>
        <v>C</v>
      </c>
    </row>
    <row r="374" spans="1:10" x14ac:dyDescent="0.3">
      <c r="A374">
        <v>372</v>
      </c>
      <c r="B374" t="str">
        <f ca="1"/>
        <v>25T-A53-0016</v>
      </c>
      <c r="C374" t="str">
        <f ca="1"/>
        <v>Ilham Wijaya</v>
      </c>
      <c r="D374" t="str">
        <f ca="1"/>
        <v>L</v>
      </c>
      <c r="E374">
        <f ca="1"/>
        <v>2025</v>
      </c>
      <c r="F374" t="str">
        <f ca="1"/>
        <v>Ilmu Sosial</v>
      </c>
      <c r="G374" t="str">
        <f ca="1"/>
        <v>Sosiologi</v>
      </c>
      <c r="H374">
        <f ca="1"/>
        <v>2</v>
      </c>
      <c r="I374" s="3">
        <f ca="1"/>
        <v>3.4583333333333335</v>
      </c>
      <c r="J374" t="str">
        <f ca="1"/>
        <v>B</v>
      </c>
    </row>
    <row r="375" spans="1:10" x14ac:dyDescent="0.3">
      <c r="A375">
        <v>373</v>
      </c>
      <c r="B375" t="str">
        <f ca="1"/>
        <v>25T-A53-0017</v>
      </c>
      <c r="C375" t="str">
        <f ca="1"/>
        <v>Gilang Oktavianus</v>
      </c>
      <c r="D375" t="str">
        <f ca="1"/>
        <v>L</v>
      </c>
      <c r="E375">
        <f ca="1"/>
        <v>2025</v>
      </c>
      <c r="F375" t="str">
        <f ca="1"/>
        <v>Ilmu Sosial</v>
      </c>
      <c r="G375" t="str">
        <f ca="1"/>
        <v>Sosiologi</v>
      </c>
      <c r="H375">
        <f ca="1"/>
        <v>2</v>
      </c>
      <c r="I375" s="3">
        <f ca="1"/>
        <v>2.9583333333333335</v>
      </c>
      <c r="J375" t="str">
        <f ca="1"/>
        <v>C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AD04-B25D-4296-90A7-D481D4D49910}">
  <dimension ref="A1:Q701"/>
  <sheetViews>
    <sheetView tabSelected="1" topLeftCell="A32" workbookViewId="0">
      <selection activeCell="W12" sqref="W12"/>
    </sheetView>
  </sheetViews>
  <sheetFormatPr defaultRowHeight="14.4" x14ac:dyDescent="0.3"/>
  <cols>
    <col min="1" max="1" width="12.88671875" bestFit="1" customWidth="1"/>
    <col min="2" max="2" width="19.6640625" customWidth="1"/>
    <col min="3" max="8" width="19.5546875" customWidth="1"/>
    <col min="9" max="9" width="19.88671875" customWidth="1"/>
    <col min="10" max="10" width="10.33203125" customWidth="1"/>
    <col min="14" max="14" width="10.44140625" customWidth="1"/>
    <col min="15" max="15" width="12.33203125" bestFit="1" customWidth="1"/>
    <col min="16" max="16" width="11.5546875" bestFit="1" customWidth="1"/>
    <col min="17" max="17" width="20" bestFit="1" customWidth="1"/>
    <col min="22" max="22" width="12.5546875" bestFit="1" customWidth="1"/>
    <col min="23" max="23" width="11.44140625" bestFit="1" customWidth="1"/>
  </cols>
  <sheetData>
    <row r="1" spans="1:17" ht="33" customHeigh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</v>
      </c>
      <c r="N1" s="38" t="s">
        <v>16</v>
      </c>
      <c r="O1" s="39" t="s">
        <v>5</v>
      </c>
      <c r="P1" s="39" t="s">
        <v>40</v>
      </c>
      <c r="Q1" s="40" t="s">
        <v>6</v>
      </c>
    </row>
    <row r="2" spans="1:17" x14ac:dyDescent="0.3">
      <c r="A2" t="s">
        <v>52</v>
      </c>
      <c r="B2" t="s">
        <v>1395</v>
      </c>
      <c r="C2" t="s">
        <v>1394</v>
      </c>
      <c r="D2" t="s">
        <v>1397</v>
      </c>
      <c r="E2" t="s">
        <v>1393</v>
      </c>
      <c r="F2" t="s">
        <v>1396</v>
      </c>
      <c r="G2" t="s">
        <v>1395</v>
      </c>
      <c r="H2" t="s">
        <v>1393</v>
      </c>
      <c r="I2" t="s">
        <v>1396</v>
      </c>
      <c r="J2" s="3">
        <f>(VLOOKUP(B2,$N$27:$O$36, 2,0)*4+VLOOKUP(C2,$N$27:$O$36, 2,0)*4+VLOOKUP(D2,$N$27:$O$36, 2,0)*2+VLOOKUP(E2,$N$27:$O$36, 2,0)*3+VLOOKUP(F2,$N$27:$O$36, 2,0)*2+VLOOKUP(G2,$N$27:$O$36, 2,0)*2+VLOOKUP(H2,$N$27:$O$36, 2,0)*3+VLOOKUP(I2,$N$27:$O$36, 2,0)*4)/24</f>
        <v>3.4791666666666665</v>
      </c>
      <c r="N2" s="41" t="s">
        <v>17</v>
      </c>
      <c r="O2" s="37" t="s">
        <v>22</v>
      </c>
      <c r="P2" s="37">
        <v>1</v>
      </c>
      <c r="Q2" s="42" t="s">
        <v>28</v>
      </c>
    </row>
    <row r="3" spans="1:17" x14ac:dyDescent="0.3">
      <c r="A3" t="s">
        <v>53</v>
      </c>
      <c r="B3" t="s">
        <v>1393</v>
      </c>
      <c r="C3" t="s">
        <v>1395</v>
      </c>
      <c r="D3" t="s">
        <v>1393</v>
      </c>
      <c r="E3" t="s">
        <v>1393</v>
      </c>
      <c r="F3" t="s">
        <v>1395</v>
      </c>
      <c r="G3" t="s">
        <v>1398</v>
      </c>
      <c r="H3" t="s">
        <v>1393</v>
      </c>
      <c r="I3" t="s">
        <v>1394</v>
      </c>
      <c r="J3" s="3">
        <f t="shared" ref="J3:J66" si="0">(VLOOKUP(B3,$N$27:$O$36, 2,0)*4+VLOOKUP(C3,$N$27:$O$36, 2,0)*4+VLOOKUP(D3,$N$27:$O$36, 2,0)*2+VLOOKUP(E3,$N$27:$O$36, 2,0)*3+VLOOKUP(F3,$N$27:$O$36, 2,0)*2+VLOOKUP(G3,$N$27:$O$36, 2,0)*2+VLOOKUP(H3,$N$27:$O$36, 2,0)*3+VLOOKUP(I3,$N$27:$O$36, 2,0)*4)/24</f>
        <v>3.7083333333333335</v>
      </c>
      <c r="N3" s="41" t="s">
        <v>17</v>
      </c>
      <c r="O3" s="37" t="s">
        <v>22</v>
      </c>
      <c r="P3" s="37">
        <v>2</v>
      </c>
      <c r="Q3" s="42" t="s">
        <v>27</v>
      </c>
    </row>
    <row r="4" spans="1:17" x14ac:dyDescent="0.3">
      <c r="A4" t="s">
        <v>54</v>
      </c>
      <c r="B4" t="s">
        <v>1396</v>
      </c>
      <c r="C4" t="s">
        <v>1399</v>
      </c>
      <c r="D4" t="s">
        <v>1396</v>
      </c>
      <c r="E4" t="s">
        <v>1395</v>
      </c>
      <c r="F4" t="s">
        <v>1400</v>
      </c>
      <c r="G4" t="s">
        <v>1393</v>
      </c>
      <c r="H4" t="s">
        <v>43</v>
      </c>
      <c r="I4" t="s">
        <v>1394</v>
      </c>
      <c r="J4" s="3">
        <f t="shared" si="0"/>
        <v>2.5625</v>
      </c>
      <c r="N4" s="41" t="s">
        <v>17</v>
      </c>
      <c r="O4" s="37" t="s">
        <v>22</v>
      </c>
      <c r="P4" s="37">
        <v>3</v>
      </c>
      <c r="Q4" s="42" t="s">
        <v>29</v>
      </c>
    </row>
    <row r="5" spans="1:17" x14ac:dyDescent="0.3">
      <c r="A5" t="s">
        <v>55</v>
      </c>
      <c r="B5" t="s">
        <v>1393</v>
      </c>
      <c r="C5" t="s">
        <v>1393</v>
      </c>
      <c r="D5" t="s">
        <v>1395</v>
      </c>
      <c r="E5" t="s">
        <v>1398</v>
      </c>
      <c r="F5" t="s">
        <v>1394</v>
      </c>
      <c r="G5" t="s">
        <v>1396</v>
      </c>
      <c r="H5" t="s">
        <v>1397</v>
      </c>
      <c r="I5" t="s">
        <v>1395</v>
      </c>
      <c r="J5" s="3">
        <f t="shared" si="0"/>
        <v>3.4270833333333335</v>
      </c>
      <c r="N5" s="41" t="s">
        <v>18</v>
      </c>
      <c r="O5" s="37" t="s">
        <v>23</v>
      </c>
      <c r="P5" s="37">
        <v>1</v>
      </c>
      <c r="Q5" s="43" t="s">
        <v>31</v>
      </c>
    </row>
    <row r="6" spans="1:17" x14ac:dyDescent="0.3">
      <c r="A6" t="s">
        <v>56</v>
      </c>
      <c r="B6" t="s">
        <v>1396</v>
      </c>
      <c r="C6" t="s">
        <v>1393</v>
      </c>
      <c r="D6" t="s">
        <v>1393</v>
      </c>
      <c r="E6" t="s">
        <v>1394</v>
      </c>
      <c r="F6" t="s">
        <v>1397</v>
      </c>
      <c r="G6" t="s">
        <v>1395</v>
      </c>
      <c r="H6" t="s">
        <v>1395</v>
      </c>
      <c r="I6" t="s">
        <v>1396</v>
      </c>
      <c r="J6" s="3">
        <f t="shared" si="0"/>
        <v>3.4270833333333335</v>
      </c>
      <c r="N6" s="41" t="s">
        <v>18</v>
      </c>
      <c r="O6" s="37" t="s">
        <v>23</v>
      </c>
      <c r="P6" s="37">
        <v>2</v>
      </c>
      <c r="Q6" s="43" t="s">
        <v>30</v>
      </c>
    </row>
    <row r="7" spans="1:17" x14ac:dyDescent="0.3">
      <c r="A7" t="s">
        <v>57</v>
      </c>
      <c r="B7" t="s">
        <v>1396</v>
      </c>
      <c r="C7" t="s">
        <v>1394</v>
      </c>
      <c r="D7" t="s">
        <v>1398</v>
      </c>
      <c r="E7" t="s">
        <v>1397</v>
      </c>
      <c r="F7" t="s">
        <v>1394</v>
      </c>
      <c r="G7" t="s">
        <v>1396</v>
      </c>
      <c r="H7" t="s">
        <v>1396</v>
      </c>
      <c r="I7" t="s">
        <v>43</v>
      </c>
      <c r="J7" s="3">
        <f t="shared" si="0"/>
        <v>2.9479166666666665</v>
      </c>
      <c r="N7" s="41" t="s">
        <v>19</v>
      </c>
      <c r="O7" s="37" t="s">
        <v>24</v>
      </c>
      <c r="P7" s="37">
        <v>1</v>
      </c>
      <c r="Q7" s="42" t="s">
        <v>33</v>
      </c>
    </row>
    <row r="8" spans="1:17" x14ac:dyDescent="0.3">
      <c r="A8" t="s">
        <v>58</v>
      </c>
      <c r="B8" t="s">
        <v>1397</v>
      </c>
      <c r="C8" t="s">
        <v>1394</v>
      </c>
      <c r="D8" t="s">
        <v>1400</v>
      </c>
      <c r="E8" t="s">
        <v>1393</v>
      </c>
      <c r="F8" t="s">
        <v>1395</v>
      </c>
      <c r="G8" t="s">
        <v>1398</v>
      </c>
      <c r="H8" t="s">
        <v>1394</v>
      </c>
      <c r="I8" t="s">
        <v>1396</v>
      </c>
      <c r="J8" s="3">
        <f t="shared" si="0"/>
        <v>3.0520833333333335</v>
      </c>
      <c r="N8" s="41" t="s">
        <v>19</v>
      </c>
      <c r="O8" s="37" t="s">
        <v>24</v>
      </c>
      <c r="P8" s="37">
        <v>2</v>
      </c>
      <c r="Q8" s="42" t="s">
        <v>32</v>
      </c>
    </row>
    <row r="9" spans="1:17" x14ac:dyDescent="0.3">
      <c r="A9" t="s">
        <v>59</v>
      </c>
      <c r="B9" t="s">
        <v>1393</v>
      </c>
      <c r="C9" t="s">
        <v>1397</v>
      </c>
      <c r="D9" t="s">
        <v>1398</v>
      </c>
      <c r="E9" t="s">
        <v>1396</v>
      </c>
      <c r="F9" t="s">
        <v>43</v>
      </c>
      <c r="G9" t="s">
        <v>1395</v>
      </c>
      <c r="H9" t="s">
        <v>1397</v>
      </c>
      <c r="I9" t="s">
        <v>1396</v>
      </c>
      <c r="J9" s="3">
        <f t="shared" si="0"/>
        <v>3.0104166666666665</v>
      </c>
      <c r="N9" s="41" t="s">
        <v>19</v>
      </c>
      <c r="O9" s="37" t="s">
        <v>24</v>
      </c>
      <c r="P9" s="37">
        <v>3</v>
      </c>
      <c r="Q9" s="42" t="s">
        <v>34</v>
      </c>
    </row>
    <row r="10" spans="1:17" x14ac:dyDescent="0.3">
      <c r="A10" t="s">
        <v>60</v>
      </c>
      <c r="B10" t="s">
        <v>1396</v>
      </c>
      <c r="C10" t="s">
        <v>1396</v>
      </c>
      <c r="D10" t="s">
        <v>1398</v>
      </c>
      <c r="E10" t="s">
        <v>1399</v>
      </c>
      <c r="F10" t="s">
        <v>1396</v>
      </c>
      <c r="G10" t="s">
        <v>1397</v>
      </c>
      <c r="H10" t="s">
        <v>1393</v>
      </c>
      <c r="I10" t="s">
        <v>1397</v>
      </c>
      <c r="J10" s="3">
        <f t="shared" si="0"/>
        <v>2.7708333333333335</v>
      </c>
      <c r="N10" s="41" t="s">
        <v>20</v>
      </c>
      <c r="O10" s="37" t="s">
        <v>25</v>
      </c>
      <c r="P10" s="37">
        <v>1</v>
      </c>
      <c r="Q10" s="42" t="s">
        <v>35</v>
      </c>
    </row>
    <row r="11" spans="1:17" x14ac:dyDescent="0.3">
      <c r="A11" t="s">
        <v>61</v>
      </c>
      <c r="B11" t="s">
        <v>1397</v>
      </c>
      <c r="C11" t="s">
        <v>1400</v>
      </c>
      <c r="D11" t="s">
        <v>1398</v>
      </c>
      <c r="E11" t="s">
        <v>1394</v>
      </c>
      <c r="F11" t="s">
        <v>1395</v>
      </c>
      <c r="G11" t="s">
        <v>1397</v>
      </c>
      <c r="H11" t="s">
        <v>1393</v>
      </c>
      <c r="I11" t="s">
        <v>1396</v>
      </c>
      <c r="J11" s="3">
        <f t="shared" si="0"/>
        <v>2.65625</v>
      </c>
      <c r="N11" s="41" t="s">
        <v>20</v>
      </c>
      <c r="O11" s="37" t="s">
        <v>25</v>
      </c>
      <c r="P11" s="37">
        <v>2</v>
      </c>
      <c r="Q11" s="42" t="s">
        <v>36</v>
      </c>
    </row>
    <row r="12" spans="1:17" x14ac:dyDescent="0.3">
      <c r="A12" t="s">
        <v>62</v>
      </c>
      <c r="B12" t="s">
        <v>1394</v>
      </c>
      <c r="C12" t="s">
        <v>1393</v>
      </c>
      <c r="D12" t="s">
        <v>1393</v>
      </c>
      <c r="E12" t="s">
        <v>1398</v>
      </c>
      <c r="F12" t="s">
        <v>1393</v>
      </c>
      <c r="G12" t="s">
        <v>1394</v>
      </c>
      <c r="H12" t="s">
        <v>1395</v>
      </c>
      <c r="I12" t="s">
        <v>43</v>
      </c>
      <c r="J12" s="3">
        <f t="shared" si="0"/>
        <v>3.3541666666666665</v>
      </c>
      <c r="N12" s="41" t="s">
        <v>21</v>
      </c>
      <c r="O12" s="37" t="s">
        <v>26</v>
      </c>
      <c r="P12" s="37">
        <v>1</v>
      </c>
      <c r="Q12" s="42" t="s">
        <v>37</v>
      </c>
    </row>
    <row r="13" spans="1:17" x14ac:dyDescent="0.3">
      <c r="A13" t="s">
        <v>63</v>
      </c>
      <c r="B13" t="s">
        <v>1393</v>
      </c>
      <c r="C13" t="s">
        <v>1395</v>
      </c>
      <c r="D13" t="s">
        <v>1396</v>
      </c>
      <c r="E13" t="s">
        <v>43</v>
      </c>
      <c r="F13" t="s">
        <v>1398</v>
      </c>
      <c r="G13" t="s">
        <v>43</v>
      </c>
      <c r="H13" t="s">
        <v>1394</v>
      </c>
      <c r="I13" t="s">
        <v>1395</v>
      </c>
      <c r="J13" s="3">
        <f t="shared" si="0"/>
        <v>3.1770833333333335</v>
      </c>
      <c r="N13" s="41" t="s">
        <v>21</v>
      </c>
      <c r="O13" s="37" t="s">
        <v>26</v>
      </c>
      <c r="P13" s="37">
        <v>2</v>
      </c>
      <c r="Q13" s="42" t="s">
        <v>38</v>
      </c>
    </row>
    <row r="14" spans="1:17" ht="15" thickBot="1" x14ac:dyDescent="0.35">
      <c r="A14" t="s">
        <v>64</v>
      </c>
      <c r="B14" t="s">
        <v>1395</v>
      </c>
      <c r="C14" t="s">
        <v>43</v>
      </c>
      <c r="D14" t="s">
        <v>1399</v>
      </c>
      <c r="E14" t="s">
        <v>1394</v>
      </c>
      <c r="F14" t="s">
        <v>1394</v>
      </c>
      <c r="G14" t="s">
        <v>1394</v>
      </c>
      <c r="H14" t="s">
        <v>1394</v>
      </c>
      <c r="I14" t="s">
        <v>1396</v>
      </c>
      <c r="J14" s="3">
        <f t="shared" si="0"/>
        <v>3.0625</v>
      </c>
      <c r="N14" s="44" t="s">
        <v>21</v>
      </c>
      <c r="O14" s="45" t="s">
        <v>26</v>
      </c>
      <c r="P14" s="45">
        <v>3</v>
      </c>
      <c r="Q14" s="46" t="s">
        <v>39</v>
      </c>
    </row>
    <row r="15" spans="1:17" x14ac:dyDescent="0.3">
      <c r="A15" t="s">
        <v>65</v>
      </c>
      <c r="B15" t="s">
        <v>1396</v>
      </c>
      <c r="C15" t="s">
        <v>1394</v>
      </c>
      <c r="D15" t="s">
        <v>1393</v>
      </c>
      <c r="E15" t="s">
        <v>1395</v>
      </c>
      <c r="F15" t="s">
        <v>1395</v>
      </c>
      <c r="G15" t="s">
        <v>1396</v>
      </c>
      <c r="H15" t="s">
        <v>1399</v>
      </c>
      <c r="I15" t="s">
        <v>1397</v>
      </c>
      <c r="J15" s="3">
        <f t="shared" si="0"/>
        <v>3.0208333333333335</v>
      </c>
    </row>
    <row r="16" spans="1:17" ht="15" thickBot="1" x14ac:dyDescent="0.35">
      <c r="A16" t="s">
        <v>66</v>
      </c>
      <c r="B16" t="s">
        <v>1396</v>
      </c>
      <c r="C16" t="s">
        <v>1396</v>
      </c>
      <c r="D16" t="s">
        <v>1397</v>
      </c>
      <c r="E16" t="s">
        <v>1393</v>
      </c>
      <c r="F16" t="s">
        <v>43</v>
      </c>
      <c r="G16" t="s">
        <v>1398</v>
      </c>
      <c r="H16" t="s">
        <v>43</v>
      </c>
      <c r="I16" t="s">
        <v>1398</v>
      </c>
      <c r="J16" s="3">
        <f t="shared" si="0"/>
        <v>2.7708333333333335</v>
      </c>
    </row>
    <row r="17" spans="1:15" x14ac:dyDescent="0.3">
      <c r="A17" t="s">
        <v>67</v>
      </c>
      <c r="B17" t="s">
        <v>1395</v>
      </c>
      <c r="C17" t="s">
        <v>1395</v>
      </c>
      <c r="D17" t="s">
        <v>1393</v>
      </c>
      <c r="E17" t="s">
        <v>1397</v>
      </c>
      <c r="F17" t="s">
        <v>1393</v>
      </c>
      <c r="G17" t="s">
        <v>1393</v>
      </c>
      <c r="H17" t="s">
        <v>1394</v>
      </c>
      <c r="I17" t="s">
        <v>1394</v>
      </c>
      <c r="J17" s="3">
        <f t="shared" si="0"/>
        <v>3.6041666666666665</v>
      </c>
      <c r="N17" s="26" t="s">
        <v>44</v>
      </c>
      <c r="O17" s="27" t="s">
        <v>16</v>
      </c>
    </row>
    <row r="18" spans="1:15" x14ac:dyDescent="0.3">
      <c r="A18" t="s">
        <v>68</v>
      </c>
      <c r="B18" t="s">
        <v>1395</v>
      </c>
      <c r="C18" t="s">
        <v>1393</v>
      </c>
      <c r="D18" t="s">
        <v>1393</v>
      </c>
      <c r="E18" t="s">
        <v>1394</v>
      </c>
      <c r="F18" t="s">
        <v>1393</v>
      </c>
      <c r="G18" t="s">
        <v>1395</v>
      </c>
      <c r="H18" t="s">
        <v>1393</v>
      </c>
      <c r="I18" t="s">
        <v>43</v>
      </c>
      <c r="J18" s="3">
        <f t="shared" si="0"/>
        <v>3.5104166666666665</v>
      </c>
      <c r="N18" s="28" t="s">
        <v>45</v>
      </c>
      <c r="O18" s="29" t="s">
        <v>48</v>
      </c>
    </row>
    <row r="19" spans="1:15" x14ac:dyDescent="0.3">
      <c r="A19" t="s">
        <v>69</v>
      </c>
      <c r="B19" t="s">
        <v>1396</v>
      </c>
      <c r="C19" t="s">
        <v>1393</v>
      </c>
      <c r="D19" t="s">
        <v>1394</v>
      </c>
      <c r="E19" t="s">
        <v>1395</v>
      </c>
      <c r="F19" t="s">
        <v>1395</v>
      </c>
      <c r="G19" t="s">
        <v>1393</v>
      </c>
      <c r="H19" t="s">
        <v>1398</v>
      </c>
      <c r="I19" t="s">
        <v>1400</v>
      </c>
      <c r="J19" s="3">
        <f t="shared" si="0"/>
        <v>2.8541666666666665</v>
      </c>
      <c r="N19" s="28" t="s">
        <v>46</v>
      </c>
      <c r="O19" s="29" t="s">
        <v>49</v>
      </c>
    </row>
    <row r="20" spans="1:15" ht="15" thickBot="1" x14ac:dyDescent="0.35">
      <c r="A20" t="s">
        <v>70</v>
      </c>
      <c r="B20" t="s">
        <v>1396</v>
      </c>
      <c r="C20" t="s">
        <v>1396</v>
      </c>
      <c r="D20" t="s">
        <v>1393</v>
      </c>
      <c r="E20" t="s">
        <v>1393</v>
      </c>
      <c r="F20" t="s">
        <v>1395</v>
      </c>
      <c r="G20" t="s">
        <v>1394</v>
      </c>
      <c r="H20" t="s">
        <v>1398</v>
      </c>
      <c r="I20" t="s">
        <v>1394</v>
      </c>
      <c r="J20" s="3">
        <f t="shared" si="0"/>
        <v>3.375</v>
      </c>
      <c r="N20" s="30" t="s">
        <v>47</v>
      </c>
      <c r="O20" s="31" t="s">
        <v>50</v>
      </c>
    </row>
    <row r="21" spans="1:15" x14ac:dyDescent="0.3">
      <c r="A21" t="s">
        <v>71</v>
      </c>
      <c r="B21" t="s">
        <v>1393</v>
      </c>
      <c r="C21" t="s">
        <v>1399</v>
      </c>
      <c r="D21" t="s">
        <v>1396</v>
      </c>
      <c r="E21" t="s">
        <v>1393</v>
      </c>
      <c r="F21" t="s">
        <v>1396</v>
      </c>
      <c r="G21" t="s">
        <v>1393</v>
      </c>
      <c r="H21" t="s">
        <v>1396</v>
      </c>
      <c r="I21" t="s">
        <v>1400</v>
      </c>
      <c r="J21" s="3">
        <f t="shared" si="0"/>
        <v>2.5416666666666665</v>
      </c>
    </row>
    <row r="22" spans="1:15" x14ac:dyDescent="0.3">
      <c r="A22" t="s">
        <v>72</v>
      </c>
      <c r="B22" t="s">
        <v>43</v>
      </c>
      <c r="C22" t="s">
        <v>1397</v>
      </c>
      <c r="D22" t="s">
        <v>1394</v>
      </c>
      <c r="E22" t="s">
        <v>1395</v>
      </c>
      <c r="F22" t="s">
        <v>1394</v>
      </c>
      <c r="G22" t="s">
        <v>1398</v>
      </c>
      <c r="H22" t="s">
        <v>1396</v>
      </c>
      <c r="I22" t="s">
        <v>1398</v>
      </c>
      <c r="J22" s="3">
        <f t="shared" si="0"/>
        <v>2.8541666666666665</v>
      </c>
    </row>
    <row r="23" spans="1:15" x14ac:dyDescent="0.3">
      <c r="A23" t="s">
        <v>73</v>
      </c>
      <c r="B23" t="s">
        <v>1395</v>
      </c>
      <c r="C23" t="s">
        <v>1394</v>
      </c>
      <c r="D23" t="s">
        <v>1398</v>
      </c>
      <c r="E23" t="s">
        <v>1400</v>
      </c>
      <c r="F23" t="s">
        <v>43</v>
      </c>
      <c r="G23" t="s">
        <v>1398</v>
      </c>
      <c r="H23" t="s">
        <v>1398</v>
      </c>
      <c r="I23" t="s">
        <v>1397</v>
      </c>
      <c r="J23" s="3">
        <f t="shared" si="0"/>
        <v>2.5625</v>
      </c>
    </row>
    <row r="24" spans="1:15" x14ac:dyDescent="0.3">
      <c r="A24" t="s">
        <v>74</v>
      </c>
      <c r="B24" t="s">
        <v>1394</v>
      </c>
      <c r="C24" t="s">
        <v>1396</v>
      </c>
      <c r="D24" t="s">
        <v>1395</v>
      </c>
      <c r="E24" t="s">
        <v>1393</v>
      </c>
      <c r="F24" t="s">
        <v>1393</v>
      </c>
      <c r="G24" t="s">
        <v>1394</v>
      </c>
      <c r="H24" t="s">
        <v>1394</v>
      </c>
      <c r="I24" t="s">
        <v>1397</v>
      </c>
      <c r="J24" s="3">
        <f t="shared" si="0"/>
        <v>3.4895833333333335</v>
      </c>
    </row>
    <row r="25" spans="1:15" x14ac:dyDescent="0.3">
      <c r="A25" t="s">
        <v>75</v>
      </c>
      <c r="B25" t="s">
        <v>1399</v>
      </c>
      <c r="C25" t="s">
        <v>1395</v>
      </c>
      <c r="D25" t="s">
        <v>1399</v>
      </c>
      <c r="E25" t="s">
        <v>1400</v>
      </c>
      <c r="F25" t="s">
        <v>1399</v>
      </c>
      <c r="G25" t="s">
        <v>1395</v>
      </c>
      <c r="H25" t="s">
        <v>1394</v>
      </c>
      <c r="I25" t="s">
        <v>1394</v>
      </c>
      <c r="J25" s="3">
        <f t="shared" si="0"/>
        <v>2.3020833333333335</v>
      </c>
    </row>
    <row r="26" spans="1:15" ht="15" thickBot="1" x14ac:dyDescent="0.35">
      <c r="A26" t="s">
        <v>76</v>
      </c>
      <c r="B26" t="s">
        <v>1394</v>
      </c>
      <c r="C26" t="s">
        <v>1394</v>
      </c>
      <c r="D26" t="s">
        <v>1396</v>
      </c>
      <c r="E26" t="s">
        <v>43</v>
      </c>
      <c r="F26" t="s">
        <v>1398</v>
      </c>
      <c r="G26" t="s">
        <v>1396</v>
      </c>
      <c r="H26" t="s">
        <v>1397</v>
      </c>
      <c r="I26" t="s">
        <v>1398</v>
      </c>
      <c r="J26" s="3">
        <f t="shared" si="0"/>
        <v>2.96875</v>
      </c>
    </row>
    <row r="27" spans="1:15" x14ac:dyDescent="0.3">
      <c r="A27" t="s">
        <v>77</v>
      </c>
      <c r="B27" t="s">
        <v>1393</v>
      </c>
      <c r="C27" t="s">
        <v>1397</v>
      </c>
      <c r="D27" t="s">
        <v>43</v>
      </c>
      <c r="E27" t="s">
        <v>1398</v>
      </c>
      <c r="F27" t="s">
        <v>1398</v>
      </c>
      <c r="G27" t="s">
        <v>1396</v>
      </c>
      <c r="H27" t="s">
        <v>1394</v>
      </c>
      <c r="I27" t="s">
        <v>1398</v>
      </c>
      <c r="J27" s="3">
        <f t="shared" si="0"/>
        <v>2.9479166666666665</v>
      </c>
      <c r="N27" s="26" t="s">
        <v>1401</v>
      </c>
      <c r="O27" s="32" t="s">
        <v>1402</v>
      </c>
    </row>
    <row r="28" spans="1:15" x14ac:dyDescent="0.3">
      <c r="A28" t="s">
        <v>78</v>
      </c>
      <c r="B28" t="s">
        <v>1395</v>
      </c>
      <c r="C28" t="s">
        <v>1398</v>
      </c>
      <c r="D28" t="s">
        <v>1400</v>
      </c>
      <c r="E28" t="s">
        <v>1395</v>
      </c>
      <c r="F28" t="s">
        <v>1395</v>
      </c>
      <c r="G28" t="s">
        <v>1399</v>
      </c>
      <c r="H28" t="s">
        <v>1397</v>
      </c>
      <c r="I28" t="s">
        <v>1394</v>
      </c>
      <c r="J28" s="3">
        <f t="shared" si="0"/>
        <v>2.78125</v>
      </c>
      <c r="N28" s="33" t="s">
        <v>1393</v>
      </c>
      <c r="O28" s="34">
        <v>4</v>
      </c>
    </row>
    <row r="29" spans="1:15" x14ac:dyDescent="0.3">
      <c r="A29" t="s">
        <v>79</v>
      </c>
      <c r="B29" t="s">
        <v>1393</v>
      </c>
      <c r="C29" t="s">
        <v>1394</v>
      </c>
      <c r="D29" t="s">
        <v>43</v>
      </c>
      <c r="E29" t="s">
        <v>1398</v>
      </c>
      <c r="F29" t="s">
        <v>1393</v>
      </c>
      <c r="G29" t="s">
        <v>1398</v>
      </c>
      <c r="H29" t="s">
        <v>1400</v>
      </c>
      <c r="I29" t="s">
        <v>1397</v>
      </c>
      <c r="J29" s="3">
        <f t="shared" si="0"/>
        <v>2.7708333333333335</v>
      </c>
      <c r="N29" s="33" t="s">
        <v>1394</v>
      </c>
      <c r="O29" s="34">
        <v>3.75</v>
      </c>
    </row>
    <row r="30" spans="1:15" x14ac:dyDescent="0.3">
      <c r="A30" t="s">
        <v>80</v>
      </c>
      <c r="B30" t="s">
        <v>1395</v>
      </c>
      <c r="C30" t="s">
        <v>1396</v>
      </c>
      <c r="D30" t="s">
        <v>1393</v>
      </c>
      <c r="E30" t="s">
        <v>1393</v>
      </c>
      <c r="F30" t="s">
        <v>1400</v>
      </c>
      <c r="G30" t="s">
        <v>1397</v>
      </c>
      <c r="H30" t="s">
        <v>1396</v>
      </c>
      <c r="I30" t="s">
        <v>1399</v>
      </c>
      <c r="J30" s="3">
        <f t="shared" si="0"/>
        <v>2.6875</v>
      </c>
      <c r="N30" s="33" t="s">
        <v>1395</v>
      </c>
      <c r="O30" s="34">
        <v>3.5</v>
      </c>
    </row>
    <row r="31" spans="1:15" x14ac:dyDescent="0.3">
      <c r="A31" t="s">
        <v>81</v>
      </c>
      <c r="B31" t="s">
        <v>1395</v>
      </c>
      <c r="C31" t="s">
        <v>43</v>
      </c>
      <c r="D31" t="s">
        <v>1398</v>
      </c>
      <c r="E31" t="s">
        <v>1394</v>
      </c>
      <c r="F31" t="s">
        <v>1394</v>
      </c>
      <c r="G31" t="s">
        <v>1394</v>
      </c>
      <c r="H31" t="s">
        <v>1394</v>
      </c>
      <c r="I31" t="s">
        <v>1396</v>
      </c>
      <c r="J31" s="3">
        <f t="shared" si="0"/>
        <v>3.1875</v>
      </c>
      <c r="N31" s="33" t="s">
        <v>1396</v>
      </c>
      <c r="O31" s="34">
        <v>3</v>
      </c>
    </row>
    <row r="32" spans="1:15" x14ac:dyDescent="0.3">
      <c r="A32" t="s">
        <v>82</v>
      </c>
      <c r="B32" t="s">
        <v>1394</v>
      </c>
      <c r="C32" t="s">
        <v>1395</v>
      </c>
      <c r="D32" t="s">
        <v>1393</v>
      </c>
      <c r="E32" t="s">
        <v>43</v>
      </c>
      <c r="F32" t="s">
        <v>1395</v>
      </c>
      <c r="G32" t="s">
        <v>1396</v>
      </c>
      <c r="H32" t="s">
        <v>1396</v>
      </c>
      <c r="I32" t="s">
        <v>43</v>
      </c>
      <c r="J32" s="3">
        <f t="shared" si="0"/>
        <v>3.0416666666666665</v>
      </c>
      <c r="N32" s="33" t="s">
        <v>1397</v>
      </c>
      <c r="O32" s="34">
        <v>2.75</v>
      </c>
    </row>
    <row r="33" spans="1:15" x14ac:dyDescent="0.3">
      <c r="A33" t="s">
        <v>83</v>
      </c>
      <c r="B33" t="s">
        <v>1395</v>
      </c>
      <c r="C33" t="s">
        <v>43</v>
      </c>
      <c r="D33" t="s">
        <v>1396</v>
      </c>
      <c r="E33" t="s">
        <v>1396</v>
      </c>
      <c r="F33" t="s">
        <v>1396</v>
      </c>
      <c r="G33" t="s">
        <v>1393</v>
      </c>
      <c r="H33" t="s">
        <v>1395</v>
      </c>
      <c r="I33" t="s">
        <v>1394</v>
      </c>
      <c r="J33" s="3">
        <f t="shared" si="0"/>
        <v>3.1875</v>
      </c>
      <c r="N33" s="33" t="s">
        <v>1398</v>
      </c>
      <c r="O33" s="34">
        <v>2.5</v>
      </c>
    </row>
    <row r="34" spans="1:15" x14ac:dyDescent="0.3">
      <c r="A34" t="s">
        <v>84</v>
      </c>
      <c r="B34" t="s">
        <v>1393</v>
      </c>
      <c r="C34" t="s">
        <v>1398</v>
      </c>
      <c r="D34" t="s">
        <v>1394</v>
      </c>
      <c r="E34" t="s">
        <v>1396</v>
      </c>
      <c r="F34" t="s">
        <v>1397</v>
      </c>
      <c r="G34" t="s">
        <v>1396</v>
      </c>
      <c r="H34" t="s">
        <v>1395</v>
      </c>
      <c r="I34" t="s">
        <v>1396</v>
      </c>
      <c r="J34" s="3">
        <f t="shared" si="0"/>
        <v>3.1875</v>
      </c>
      <c r="N34" s="33" t="s">
        <v>43</v>
      </c>
      <c r="O34" s="34">
        <v>2</v>
      </c>
    </row>
    <row r="35" spans="1:15" x14ac:dyDescent="0.3">
      <c r="A35" t="s">
        <v>85</v>
      </c>
      <c r="B35" t="s">
        <v>1396</v>
      </c>
      <c r="C35" t="s">
        <v>1398</v>
      </c>
      <c r="D35" t="s">
        <v>1393</v>
      </c>
      <c r="E35" t="s">
        <v>1396</v>
      </c>
      <c r="F35" t="s">
        <v>1394</v>
      </c>
      <c r="G35" t="s">
        <v>1394</v>
      </c>
      <c r="H35" t="s">
        <v>1398</v>
      </c>
      <c r="I35" t="s">
        <v>1396</v>
      </c>
      <c r="J35" s="3">
        <f t="shared" si="0"/>
        <v>3.0625</v>
      </c>
      <c r="N35" s="33" t="s">
        <v>1399</v>
      </c>
      <c r="O35" s="34">
        <v>1</v>
      </c>
    </row>
    <row r="36" spans="1:15" ht="15" thickBot="1" x14ac:dyDescent="0.35">
      <c r="A36" t="s">
        <v>86</v>
      </c>
      <c r="B36" t="s">
        <v>1396</v>
      </c>
      <c r="C36" t="s">
        <v>1398</v>
      </c>
      <c r="D36" t="s">
        <v>43</v>
      </c>
      <c r="E36" t="s">
        <v>1395</v>
      </c>
      <c r="F36" t="s">
        <v>1396</v>
      </c>
      <c r="G36" t="s">
        <v>1396</v>
      </c>
      <c r="H36" t="s">
        <v>1396</v>
      </c>
      <c r="I36" t="s">
        <v>1397</v>
      </c>
      <c r="J36" s="3">
        <f t="shared" si="0"/>
        <v>2.8541666666666665</v>
      </c>
      <c r="N36" s="35" t="s">
        <v>1400</v>
      </c>
      <c r="O36" s="36">
        <v>0</v>
      </c>
    </row>
    <row r="37" spans="1:15" x14ac:dyDescent="0.3">
      <c r="A37" t="s">
        <v>87</v>
      </c>
      <c r="B37" t="s">
        <v>1396</v>
      </c>
      <c r="C37" t="s">
        <v>1396</v>
      </c>
      <c r="D37" t="s">
        <v>1396</v>
      </c>
      <c r="E37" t="s">
        <v>1399</v>
      </c>
      <c r="F37" t="s">
        <v>1397</v>
      </c>
      <c r="G37" t="s">
        <v>43</v>
      </c>
      <c r="H37" t="s">
        <v>1399</v>
      </c>
      <c r="I37" t="s">
        <v>1394</v>
      </c>
      <c r="J37" s="3">
        <f t="shared" si="0"/>
        <v>2.5208333333333335</v>
      </c>
    </row>
    <row r="38" spans="1:15" x14ac:dyDescent="0.3">
      <c r="A38" t="s">
        <v>88</v>
      </c>
      <c r="B38" t="s">
        <v>1396</v>
      </c>
      <c r="C38" t="s">
        <v>1399</v>
      </c>
      <c r="D38" t="s">
        <v>1398</v>
      </c>
      <c r="E38" t="s">
        <v>1393</v>
      </c>
      <c r="F38" t="s">
        <v>1393</v>
      </c>
      <c r="G38" t="s">
        <v>1395</v>
      </c>
      <c r="H38" t="s">
        <v>1393</v>
      </c>
      <c r="I38" t="s">
        <v>1394</v>
      </c>
      <c r="J38" s="3">
        <f t="shared" si="0"/>
        <v>3.125</v>
      </c>
    </row>
    <row r="39" spans="1:15" x14ac:dyDescent="0.3">
      <c r="A39" t="s">
        <v>89</v>
      </c>
      <c r="B39" t="s">
        <v>1393</v>
      </c>
      <c r="C39" t="s">
        <v>1397</v>
      </c>
      <c r="D39" t="s">
        <v>1398</v>
      </c>
      <c r="E39" t="s">
        <v>43</v>
      </c>
      <c r="F39" t="s">
        <v>1394</v>
      </c>
      <c r="G39" t="s">
        <v>1397</v>
      </c>
      <c r="H39" t="s">
        <v>1397</v>
      </c>
      <c r="I39" t="s">
        <v>1393</v>
      </c>
      <c r="J39" s="3">
        <f t="shared" si="0"/>
        <v>3.1354166666666665</v>
      </c>
    </row>
    <row r="40" spans="1:15" x14ac:dyDescent="0.3">
      <c r="A40" t="s">
        <v>90</v>
      </c>
      <c r="B40" t="s">
        <v>43</v>
      </c>
      <c r="C40" t="s">
        <v>1399</v>
      </c>
      <c r="D40" t="s">
        <v>1394</v>
      </c>
      <c r="E40" t="s">
        <v>1399</v>
      </c>
      <c r="F40" t="s">
        <v>1395</v>
      </c>
      <c r="G40" t="s">
        <v>1396</v>
      </c>
      <c r="H40" t="s">
        <v>1400</v>
      </c>
      <c r="I40" t="s">
        <v>1398</v>
      </c>
      <c r="J40" s="3">
        <f t="shared" si="0"/>
        <v>1.8958333333333333</v>
      </c>
    </row>
    <row r="41" spans="1:15" x14ac:dyDescent="0.3">
      <c r="A41" t="s">
        <v>91</v>
      </c>
      <c r="B41" t="s">
        <v>1394</v>
      </c>
      <c r="C41" t="s">
        <v>1395</v>
      </c>
      <c r="D41" t="s">
        <v>1396</v>
      </c>
      <c r="E41" t="s">
        <v>1395</v>
      </c>
      <c r="F41" t="s">
        <v>1394</v>
      </c>
      <c r="G41" t="s">
        <v>1395</v>
      </c>
      <c r="H41" t="s">
        <v>1397</v>
      </c>
      <c r="I41" t="s">
        <v>1393</v>
      </c>
      <c r="J41" s="3">
        <f t="shared" si="0"/>
        <v>3.5104166666666665</v>
      </c>
    </row>
    <row r="42" spans="1:15" x14ac:dyDescent="0.3">
      <c r="A42" t="s">
        <v>92</v>
      </c>
      <c r="B42" t="s">
        <v>1396</v>
      </c>
      <c r="C42" t="s">
        <v>1395</v>
      </c>
      <c r="D42" t="s">
        <v>1393</v>
      </c>
      <c r="E42" t="s">
        <v>1395</v>
      </c>
      <c r="F42" t="s">
        <v>1396</v>
      </c>
      <c r="G42" t="s">
        <v>1396</v>
      </c>
      <c r="H42" t="s">
        <v>1393</v>
      </c>
      <c r="I42" t="s">
        <v>1400</v>
      </c>
      <c r="J42" s="3">
        <f t="shared" si="0"/>
        <v>2.8541666666666665</v>
      </c>
    </row>
    <row r="43" spans="1:15" x14ac:dyDescent="0.3">
      <c r="A43" t="s">
        <v>93</v>
      </c>
      <c r="B43" t="s">
        <v>1398</v>
      </c>
      <c r="C43" t="s">
        <v>1400</v>
      </c>
      <c r="D43" t="s">
        <v>1393</v>
      </c>
      <c r="E43" t="s">
        <v>1394</v>
      </c>
      <c r="F43" t="s">
        <v>1393</v>
      </c>
      <c r="G43" t="s">
        <v>1398</v>
      </c>
      <c r="H43" t="s">
        <v>1394</v>
      </c>
      <c r="I43" t="s">
        <v>1393</v>
      </c>
      <c r="J43" s="3">
        <f t="shared" si="0"/>
        <v>2.8958333333333335</v>
      </c>
    </row>
    <row r="44" spans="1:15" x14ac:dyDescent="0.3">
      <c r="A44" t="s">
        <v>94</v>
      </c>
      <c r="B44" t="s">
        <v>1395</v>
      </c>
      <c r="C44" t="s">
        <v>43</v>
      </c>
      <c r="D44" t="s">
        <v>1398</v>
      </c>
      <c r="E44" t="s">
        <v>1394</v>
      </c>
      <c r="F44" t="s">
        <v>1393</v>
      </c>
      <c r="G44" t="s">
        <v>43</v>
      </c>
      <c r="H44" t="s">
        <v>1396</v>
      </c>
      <c r="I44" t="s">
        <v>1397</v>
      </c>
      <c r="J44" s="3">
        <f t="shared" si="0"/>
        <v>2.9270833333333335</v>
      </c>
    </row>
    <row r="45" spans="1:15" x14ac:dyDescent="0.3">
      <c r="A45" t="s">
        <v>95</v>
      </c>
      <c r="B45" t="s">
        <v>1393</v>
      </c>
      <c r="C45" t="s">
        <v>1393</v>
      </c>
      <c r="D45" t="s">
        <v>1397</v>
      </c>
      <c r="E45" t="s">
        <v>1395</v>
      </c>
      <c r="F45" t="s">
        <v>1393</v>
      </c>
      <c r="G45" t="s">
        <v>1399</v>
      </c>
      <c r="H45" t="s">
        <v>1397</v>
      </c>
      <c r="I45" t="s">
        <v>1398</v>
      </c>
      <c r="J45" s="3">
        <f t="shared" si="0"/>
        <v>3.1770833333333335</v>
      </c>
    </row>
    <row r="46" spans="1:15" x14ac:dyDescent="0.3">
      <c r="A46" t="s">
        <v>96</v>
      </c>
      <c r="B46" t="s">
        <v>1393</v>
      </c>
      <c r="C46" t="s">
        <v>43</v>
      </c>
      <c r="D46" t="s">
        <v>1393</v>
      </c>
      <c r="E46" t="s">
        <v>43</v>
      </c>
      <c r="F46" t="s">
        <v>1396</v>
      </c>
      <c r="G46" t="s">
        <v>1395</v>
      </c>
      <c r="H46" t="s">
        <v>1396</v>
      </c>
      <c r="I46" t="s">
        <v>43</v>
      </c>
      <c r="J46" s="3">
        <f t="shared" si="0"/>
        <v>2.8333333333333335</v>
      </c>
    </row>
    <row r="47" spans="1:15" x14ac:dyDescent="0.3">
      <c r="A47" t="s">
        <v>97</v>
      </c>
      <c r="B47" t="s">
        <v>1394</v>
      </c>
      <c r="C47" t="s">
        <v>1393</v>
      </c>
      <c r="D47" t="s">
        <v>1396</v>
      </c>
      <c r="E47" t="s">
        <v>1394</v>
      </c>
      <c r="F47" t="s">
        <v>1393</v>
      </c>
      <c r="G47" t="s">
        <v>1394</v>
      </c>
      <c r="H47" t="s">
        <v>1393</v>
      </c>
      <c r="I47" t="s">
        <v>1394</v>
      </c>
      <c r="J47" s="3">
        <f t="shared" si="0"/>
        <v>3.78125</v>
      </c>
    </row>
    <row r="48" spans="1:15" x14ac:dyDescent="0.3">
      <c r="A48" t="s">
        <v>98</v>
      </c>
      <c r="B48" t="s">
        <v>1395</v>
      </c>
      <c r="C48" t="s">
        <v>1395</v>
      </c>
      <c r="D48" t="s">
        <v>1398</v>
      </c>
      <c r="E48" t="s">
        <v>1394</v>
      </c>
      <c r="F48" t="s">
        <v>1396</v>
      </c>
      <c r="G48" t="s">
        <v>1394</v>
      </c>
      <c r="H48" t="s">
        <v>1395</v>
      </c>
      <c r="I48" t="s">
        <v>1393</v>
      </c>
      <c r="J48" s="3">
        <f t="shared" si="0"/>
        <v>3.5104166666666665</v>
      </c>
    </row>
    <row r="49" spans="1:10" x14ac:dyDescent="0.3">
      <c r="A49" t="s">
        <v>99</v>
      </c>
      <c r="B49" t="s">
        <v>1394</v>
      </c>
      <c r="C49" t="s">
        <v>1393</v>
      </c>
      <c r="D49" t="s">
        <v>1397</v>
      </c>
      <c r="E49" t="s">
        <v>1396</v>
      </c>
      <c r="F49" t="s">
        <v>1394</v>
      </c>
      <c r="G49" t="s">
        <v>1396</v>
      </c>
      <c r="H49" t="s">
        <v>1399</v>
      </c>
      <c r="I49" t="s">
        <v>1393</v>
      </c>
      <c r="J49" s="3">
        <f t="shared" si="0"/>
        <v>3.25</v>
      </c>
    </row>
    <row r="50" spans="1:10" x14ac:dyDescent="0.3">
      <c r="A50" t="s">
        <v>100</v>
      </c>
      <c r="B50" t="s">
        <v>1398</v>
      </c>
      <c r="C50" t="s">
        <v>1395</v>
      </c>
      <c r="D50" t="s">
        <v>1396</v>
      </c>
      <c r="E50" t="s">
        <v>1398</v>
      </c>
      <c r="F50" t="s">
        <v>1395</v>
      </c>
      <c r="G50" t="s">
        <v>1396</v>
      </c>
      <c r="H50" t="s">
        <v>1397</v>
      </c>
      <c r="I50" t="s">
        <v>1400</v>
      </c>
      <c r="J50" s="3">
        <f t="shared" si="0"/>
        <v>2.4479166666666665</v>
      </c>
    </row>
    <row r="51" spans="1:10" x14ac:dyDescent="0.3">
      <c r="A51" t="s">
        <v>101</v>
      </c>
      <c r="B51" t="s">
        <v>1395</v>
      </c>
      <c r="C51" t="s">
        <v>1398</v>
      </c>
      <c r="D51" t="s">
        <v>1397</v>
      </c>
      <c r="E51" t="s">
        <v>1397</v>
      </c>
      <c r="F51" t="s">
        <v>1395</v>
      </c>
      <c r="G51" t="s">
        <v>1395</v>
      </c>
      <c r="H51" t="s">
        <v>1393</v>
      </c>
      <c r="I51" t="s">
        <v>1393</v>
      </c>
      <c r="J51" s="3">
        <f t="shared" si="0"/>
        <v>3.3229166666666665</v>
      </c>
    </row>
    <row r="52" spans="1:10" x14ac:dyDescent="0.3">
      <c r="A52" t="s">
        <v>102</v>
      </c>
      <c r="B52" t="s">
        <v>1393</v>
      </c>
      <c r="C52" t="s">
        <v>1397</v>
      </c>
      <c r="D52" t="s">
        <v>1394</v>
      </c>
      <c r="E52" t="s">
        <v>1394</v>
      </c>
      <c r="F52" t="s">
        <v>1393</v>
      </c>
      <c r="G52" t="s">
        <v>1398</v>
      </c>
      <c r="H52" t="s">
        <v>43</v>
      </c>
      <c r="I52" t="s">
        <v>1397</v>
      </c>
      <c r="J52" s="3">
        <f t="shared" si="0"/>
        <v>3.15625</v>
      </c>
    </row>
    <row r="53" spans="1:10" x14ac:dyDescent="0.3">
      <c r="A53" t="s">
        <v>103</v>
      </c>
      <c r="B53" t="s">
        <v>1394</v>
      </c>
      <c r="C53" t="s">
        <v>1394</v>
      </c>
      <c r="D53" t="s">
        <v>1394</v>
      </c>
      <c r="E53" t="s">
        <v>1396</v>
      </c>
      <c r="F53" t="s">
        <v>1394</v>
      </c>
      <c r="G53" t="s">
        <v>1395</v>
      </c>
      <c r="H53" t="s">
        <v>1394</v>
      </c>
      <c r="I53" t="s">
        <v>1399</v>
      </c>
      <c r="J53" s="3">
        <f t="shared" si="0"/>
        <v>3.1770833333333335</v>
      </c>
    </row>
    <row r="54" spans="1:10" x14ac:dyDescent="0.3">
      <c r="A54" t="s">
        <v>104</v>
      </c>
      <c r="B54" t="s">
        <v>1400</v>
      </c>
      <c r="C54" t="s">
        <v>1396</v>
      </c>
      <c r="D54" t="s">
        <v>1394</v>
      </c>
      <c r="E54" t="s">
        <v>1399</v>
      </c>
      <c r="F54" t="s">
        <v>1395</v>
      </c>
      <c r="G54" t="s">
        <v>1395</v>
      </c>
      <c r="H54" t="s">
        <v>1393</v>
      </c>
      <c r="I54" t="s">
        <v>1395</v>
      </c>
      <c r="J54" s="3">
        <f t="shared" si="0"/>
        <v>2.6041666666666665</v>
      </c>
    </row>
    <row r="55" spans="1:10" x14ac:dyDescent="0.3">
      <c r="A55" t="s">
        <v>105</v>
      </c>
      <c r="B55" t="s">
        <v>1396</v>
      </c>
      <c r="C55" t="s">
        <v>1396</v>
      </c>
      <c r="D55" t="s">
        <v>1394</v>
      </c>
      <c r="E55" t="s">
        <v>1396</v>
      </c>
      <c r="F55" t="s">
        <v>1393</v>
      </c>
      <c r="G55" t="s">
        <v>1394</v>
      </c>
      <c r="H55" t="s">
        <v>1393</v>
      </c>
      <c r="I55" t="s">
        <v>1395</v>
      </c>
      <c r="J55" s="3">
        <f t="shared" si="0"/>
        <v>3.4166666666666665</v>
      </c>
    </row>
    <row r="56" spans="1:10" x14ac:dyDescent="0.3">
      <c r="A56" t="s">
        <v>106</v>
      </c>
      <c r="B56" t="s">
        <v>1393</v>
      </c>
      <c r="C56" t="s">
        <v>1393</v>
      </c>
      <c r="D56" t="s">
        <v>1395</v>
      </c>
      <c r="E56" t="s">
        <v>1394</v>
      </c>
      <c r="F56" t="s">
        <v>1396</v>
      </c>
      <c r="G56" t="s">
        <v>1396</v>
      </c>
      <c r="H56" t="s">
        <v>1398</v>
      </c>
      <c r="I56" t="s">
        <v>1397</v>
      </c>
      <c r="J56" s="3">
        <f t="shared" si="0"/>
        <v>3.3645833333333335</v>
      </c>
    </row>
    <row r="57" spans="1:10" x14ac:dyDescent="0.3">
      <c r="A57" t="s">
        <v>107</v>
      </c>
      <c r="B57" t="s">
        <v>1397</v>
      </c>
      <c r="C57" t="s">
        <v>43</v>
      </c>
      <c r="D57" t="s">
        <v>1395</v>
      </c>
      <c r="E57" t="s">
        <v>1395</v>
      </c>
      <c r="F57" t="s">
        <v>1400</v>
      </c>
      <c r="G57" t="s">
        <v>1393</v>
      </c>
      <c r="H57" t="s">
        <v>1397</v>
      </c>
      <c r="I57" t="s">
        <v>1397</v>
      </c>
      <c r="J57" s="3">
        <f t="shared" si="0"/>
        <v>2.65625</v>
      </c>
    </row>
    <row r="58" spans="1:10" x14ac:dyDescent="0.3">
      <c r="A58" t="s">
        <v>108</v>
      </c>
      <c r="B58" t="s">
        <v>1393</v>
      </c>
      <c r="C58" t="s">
        <v>1398</v>
      </c>
      <c r="D58" t="s">
        <v>43</v>
      </c>
      <c r="E58" t="s">
        <v>1396</v>
      </c>
      <c r="F58" t="s">
        <v>1397</v>
      </c>
      <c r="G58" t="s">
        <v>1398</v>
      </c>
      <c r="H58" t="s">
        <v>1393</v>
      </c>
      <c r="I58" t="s">
        <v>1396</v>
      </c>
      <c r="J58" s="3">
        <f t="shared" si="0"/>
        <v>3.0625</v>
      </c>
    </row>
    <row r="59" spans="1:10" x14ac:dyDescent="0.3">
      <c r="A59" t="s">
        <v>109</v>
      </c>
      <c r="B59" t="s">
        <v>1396</v>
      </c>
      <c r="C59" t="s">
        <v>1398</v>
      </c>
      <c r="D59" t="s">
        <v>1398</v>
      </c>
      <c r="E59" t="s">
        <v>1398</v>
      </c>
      <c r="F59" t="s">
        <v>1396</v>
      </c>
      <c r="G59" t="s">
        <v>43</v>
      </c>
      <c r="H59" t="s">
        <v>1397</v>
      </c>
      <c r="I59" t="s">
        <v>1397</v>
      </c>
      <c r="J59" s="3">
        <f t="shared" si="0"/>
        <v>2.65625</v>
      </c>
    </row>
    <row r="60" spans="1:10" x14ac:dyDescent="0.3">
      <c r="A60" t="s">
        <v>110</v>
      </c>
      <c r="B60" t="s">
        <v>1394</v>
      </c>
      <c r="C60" t="s">
        <v>1393</v>
      </c>
      <c r="D60" t="s">
        <v>1393</v>
      </c>
      <c r="E60" t="s">
        <v>1395</v>
      </c>
      <c r="F60" t="s">
        <v>1393</v>
      </c>
      <c r="G60" t="s">
        <v>1398</v>
      </c>
      <c r="H60" t="s">
        <v>1396</v>
      </c>
      <c r="I60" t="s">
        <v>1396</v>
      </c>
      <c r="J60" s="3">
        <f t="shared" si="0"/>
        <v>3.4791666666666665</v>
      </c>
    </row>
    <row r="61" spans="1:10" x14ac:dyDescent="0.3">
      <c r="A61" t="s">
        <v>111</v>
      </c>
      <c r="B61" t="s">
        <v>1396</v>
      </c>
      <c r="C61" t="s">
        <v>1397</v>
      </c>
      <c r="D61" t="s">
        <v>1396</v>
      </c>
      <c r="E61" t="s">
        <v>1393</v>
      </c>
      <c r="F61" t="s">
        <v>1398</v>
      </c>
      <c r="G61" t="s">
        <v>1397</v>
      </c>
      <c r="H61" t="s">
        <v>1396</v>
      </c>
      <c r="I61" t="s">
        <v>1396</v>
      </c>
      <c r="J61" s="3">
        <f t="shared" si="0"/>
        <v>3.0208333333333335</v>
      </c>
    </row>
    <row r="62" spans="1:10" x14ac:dyDescent="0.3">
      <c r="A62" t="s">
        <v>112</v>
      </c>
      <c r="B62" t="s">
        <v>1397</v>
      </c>
      <c r="C62" t="s">
        <v>1393</v>
      </c>
      <c r="D62" t="s">
        <v>1397</v>
      </c>
      <c r="E62" t="s">
        <v>1394</v>
      </c>
      <c r="F62" t="s">
        <v>1393</v>
      </c>
      <c r="G62" t="s">
        <v>1394</v>
      </c>
      <c r="H62" t="s">
        <v>1397</v>
      </c>
      <c r="I62" t="s">
        <v>1394</v>
      </c>
      <c r="J62" s="3">
        <f t="shared" si="0"/>
        <v>3.4375</v>
      </c>
    </row>
    <row r="63" spans="1:10" x14ac:dyDescent="0.3">
      <c r="A63" t="s">
        <v>113</v>
      </c>
      <c r="B63" t="s">
        <v>1397</v>
      </c>
      <c r="C63" t="s">
        <v>1400</v>
      </c>
      <c r="D63" t="s">
        <v>1396</v>
      </c>
      <c r="E63" t="s">
        <v>1395</v>
      </c>
      <c r="F63" t="s">
        <v>1396</v>
      </c>
      <c r="G63" t="s">
        <v>1397</v>
      </c>
      <c r="H63" t="s">
        <v>1398</v>
      </c>
      <c r="I63" t="s">
        <v>1396</v>
      </c>
      <c r="J63" s="3">
        <f t="shared" si="0"/>
        <v>2.4375</v>
      </c>
    </row>
    <row r="64" spans="1:10" x14ac:dyDescent="0.3">
      <c r="A64" t="s">
        <v>114</v>
      </c>
      <c r="B64" t="s">
        <v>1397</v>
      </c>
      <c r="C64" t="s">
        <v>1393</v>
      </c>
      <c r="D64" t="s">
        <v>1393</v>
      </c>
      <c r="E64" t="s">
        <v>1394</v>
      </c>
      <c r="F64" t="s">
        <v>1397</v>
      </c>
      <c r="G64" t="s">
        <v>1395</v>
      </c>
      <c r="H64" t="s">
        <v>1396</v>
      </c>
      <c r="I64" t="s">
        <v>1393</v>
      </c>
      <c r="J64" s="3">
        <f t="shared" si="0"/>
        <v>3.4895833333333335</v>
      </c>
    </row>
    <row r="65" spans="1:10" x14ac:dyDescent="0.3">
      <c r="A65" t="s">
        <v>115</v>
      </c>
      <c r="B65" t="s">
        <v>1393</v>
      </c>
      <c r="C65" t="s">
        <v>1394</v>
      </c>
      <c r="D65" t="s">
        <v>1397</v>
      </c>
      <c r="E65" t="s">
        <v>1397</v>
      </c>
      <c r="F65" t="s">
        <v>1397</v>
      </c>
      <c r="G65" t="s">
        <v>1394</v>
      </c>
      <c r="H65" t="s">
        <v>1396</v>
      </c>
      <c r="I65" t="s">
        <v>1396</v>
      </c>
      <c r="J65" s="3">
        <f t="shared" si="0"/>
        <v>3.28125</v>
      </c>
    </row>
    <row r="66" spans="1:10" x14ac:dyDescent="0.3">
      <c r="A66" t="s">
        <v>116</v>
      </c>
      <c r="B66" t="s">
        <v>1396</v>
      </c>
      <c r="C66" t="s">
        <v>1393</v>
      </c>
      <c r="D66" t="s">
        <v>43</v>
      </c>
      <c r="E66" t="s">
        <v>1394</v>
      </c>
      <c r="F66" t="s">
        <v>1400</v>
      </c>
      <c r="G66" t="s">
        <v>1399</v>
      </c>
      <c r="H66" t="s">
        <v>1393</v>
      </c>
      <c r="I66" t="s">
        <v>1396</v>
      </c>
      <c r="J66" s="3">
        <f t="shared" si="0"/>
        <v>2.8854166666666665</v>
      </c>
    </row>
    <row r="67" spans="1:10" x14ac:dyDescent="0.3">
      <c r="A67" t="s">
        <v>117</v>
      </c>
      <c r="B67" t="s">
        <v>1398</v>
      </c>
      <c r="C67" t="s">
        <v>1399</v>
      </c>
      <c r="D67" t="s">
        <v>1395</v>
      </c>
      <c r="E67" t="s">
        <v>1394</v>
      </c>
      <c r="F67" t="s">
        <v>1394</v>
      </c>
      <c r="G67" t="s">
        <v>1399</v>
      </c>
      <c r="H67" t="s">
        <v>1394</v>
      </c>
      <c r="I67" t="s">
        <v>1396</v>
      </c>
      <c r="J67" s="3">
        <f t="shared" ref="J67:J130" si="1">(VLOOKUP(B67,$N$27:$O$36, 2,0)*4+VLOOKUP(C67,$N$27:$O$36, 2,0)*4+VLOOKUP(D67,$N$27:$O$36, 2,0)*2+VLOOKUP(E67,$N$27:$O$36, 2,0)*3+VLOOKUP(F67,$N$27:$O$36, 2,0)*2+VLOOKUP(G67,$N$27:$O$36, 2,0)*2+VLOOKUP(H67,$N$27:$O$36, 2,0)*3+VLOOKUP(I67,$N$27:$O$36, 2,0)*4)/24</f>
        <v>2.7083333333333335</v>
      </c>
    </row>
    <row r="68" spans="1:10" x14ac:dyDescent="0.3">
      <c r="A68" t="s">
        <v>118</v>
      </c>
      <c r="B68" t="s">
        <v>1393</v>
      </c>
      <c r="C68" t="s">
        <v>1396</v>
      </c>
      <c r="D68" t="s">
        <v>1399</v>
      </c>
      <c r="E68" t="s">
        <v>1393</v>
      </c>
      <c r="F68" t="s">
        <v>1398</v>
      </c>
      <c r="G68" t="s">
        <v>1396</v>
      </c>
      <c r="H68" t="s">
        <v>43</v>
      </c>
      <c r="I68" t="s">
        <v>1397</v>
      </c>
      <c r="J68" s="3">
        <f t="shared" si="1"/>
        <v>2.9166666666666665</v>
      </c>
    </row>
    <row r="69" spans="1:10" x14ac:dyDescent="0.3">
      <c r="A69" t="s">
        <v>119</v>
      </c>
      <c r="B69" t="s">
        <v>1394</v>
      </c>
      <c r="C69" t="s">
        <v>43</v>
      </c>
      <c r="D69" t="s">
        <v>1396</v>
      </c>
      <c r="E69" t="s">
        <v>1393</v>
      </c>
      <c r="F69" t="s">
        <v>1393</v>
      </c>
      <c r="G69" t="s">
        <v>1396</v>
      </c>
      <c r="H69" t="s">
        <v>1396</v>
      </c>
      <c r="I69" t="s">
        <v>1395</v>
      </c>
      <c r="J69" s="3">
        <f t="shared" si="1"/>
        <v>3.25</v>
      </c>
    </row>
    <row r="70" spans="1:10" x14ac:dyDescent="0.3">
      <c r="A70" t="s">
        <v>120</v>
      </c>
      <c r="B70" t="s">
        <v>1393</v>
      </c>
      <c r="C70" t="s">
        <v>1395</v>
      </c>
      <c r="D70" t="s">
        <v>1395</v>
      </c>
      <c r="E70" t="s">
        <v>1398</v>
      </c>
      <c r="F70" t="s">
        <v>1393</v>
      </c>
      <c r="G70" t="s">
        <v>1398</v>
      </c>
      <c r="H70" t="s">
        <v>1398</v>
      </c>
      <c r="I70" t="s">
        <v>1393</v>
      </c>
      <c r="J70" s="3">
        <f t="shared" si="1"/>
        <v>3.375</v>
      </c>
    </row>
    <row r="71" spans="1:10" x14ac:dyDescent="0.3">
      <c r="A71" t="s">
        <v>121</v>
      </c>
      <c r="B71" t="s">
        <v>43</v>
      </c>
      <c r="C71" t="s">
        <v>1397</v>
      </c>
      <c r="D71" t="s">
        <v>43</v>
      </c>
      <c r="E71" t="s">
        <v>1394</v>
      </c>
      <c r="F71" t="s">
        <v>1395</v>
      </c>
      <c r="G71" t="s">
        <v>1395</v>
      </c>
      <c r="H71" t="s">
        <v>1400</v>
      </c>
      <c r="I71" t="s">
        <v>1396</v>
      </c>
      <c r="J71" s="3">
        <f t="shared" si="1"/>
        <v>2.5104166666666665</v>
      </c>
    </row>
    <row r="72" spans="1:10" x14ac:dyDescent="0.3">
      <c r="A72" t="s">
        <v>122</v>
      </c>
      <c r="B72" t="s">
        <v>1395</v>
      </c>
      <c r="C72" t="s">
        <v>1395</v>
      </c>
      <c r="D72" t="s">
        <v>1394</v>
      </c>
      <c r="E72" t="s">
        <v>1393</v>
      </c>
      <c r="F72" t="s">
        <v>1393</v>
      </c>
      <c r="G72" t="s">
        <v>1398</v>
      </c>
      <c r="H72" t="s">
        <v>1394</v>
      </c>
      <c r="I72" t="s">
        <v>1399</v>
      </c>
      <c r="J72" s="3">
        <f t="shared" si="1"/>
        <v>3.15625</v>
      </c>
    </row>
    <row r="73" spans="1:10" x14ac:dyDescent="0.3">
      <c r="A73" t="s">
        <v>123</v>
      </c>
      <c r="B73" t="s">
        <v>1394</v>
      </c>
      <c r="C73" t="s">
        <v>1394</v>
      </c>
      <c r="D73" t="s">
        <v>1396</v>
      </c>
      <c r="E73" t="s">
        <v>1394</v>
      </c>
      <c r="F73" t="s">
        <v>1395</v>
      </c>
      <c r="G73" t="s">
        <v>1399</v>
      </c>
      <c r="H73" t="s">
        <v>43</v>
      </c>
      <c r="I73" t="s">
        <v>1398</v>
      </c>
      <c r="J73" s="3">
        <f t="shared" si="1"/>
        <v>3.0104166666666665</v>
      </c>
    </row>
    <row r="74" spans="1:10" x14ac:dyDescent="0.3">
      <c r="A74" t="s">
        <v>124</v>
      </c>
      <c r="B74" t="s">
        <v>1397</v>
      </c>
      <c r="C74" t="s">
        <v>43</v>
      </c>
      <c r="D74" t="s">
        <v>1399</v>
      </c>
      <c r="E74" t="s">
        <v>1396</v>
      </c>
      <c r="F74" t="s">
        <v>1397</v>
      </c>
      <c r="G74" t="s">
        <v>1393</v>
      </c>
      <c r="H74" t="s">
        <v>1397</v>
      </c>
      <c r="I74" t="s">
        <v>1396</v>
      </c>
      <c r="J74" s="3">
        <f t="shared" si="1"/>
        <v>2.65625</v>
      </c>
    </row>
    <row r="75" spans="1:10" x14ac:dyDescent="0.3">
      <c r="A75" t="s">
        <v>125</v>
      </c>
      <c r="B75" t="s">
        <v>1398</v>
      </c>
      <c r="C75" t="s">
        <v>1397</v>
      </c>
      <c r="D75" t="s">
        <v>1394</v>
      </c>
      <c r="E75" t="s">
        <v>1393</v>
      </c>
      <c r="F75" t="s">
        <v>43</v>
      </c>
      <c r="G75" t="s">
        <v>1393</v>
      </c>
      <c r="H75" t="s">
        <v>1396</v>
      </c>
      <c r="I75" t="s">
        <v>1395</v>
      </c>
      <c r="J75" s="3">
        <f t="shared" si="1"/>
        <v>3.1458333333333335</v>
      </c>
    </row>
    <row r="76" spans="1:10" x14ac:dyDescent="0.3">
      <c r="A76" t="s">
        <v>126</v>
      </c>
      <c r="B76" t="s">
        <v>1394</v>
      </c>
      <c r="C76" t="s">
        <v>1397</v>
      </c>
      <c r="D76" t="s">
        <v>1400</v>
      </c>
      <c r="E76" t="s">
        <v>1394</v>
      </c>
      <c r="F76" t="s">
        <v>1397</v>
      </c>
      <c r="G76" t="s">
        <v>1395</v>
      </c>
      <c r="H76" t="s">
        <v>1396</v>
      </c>
      <c r="I76" t="s">
        <v>1395</v>
      </c>
      <c r="J76" s="3">
        <f t="shared" si="1"/>
        <v>3.03125</v>
      </c>
    </row>
    <row r="77" spans="1:10" x14ac:dyDescent="0.3">
      <c r="A77" t="s">
        <v>127</v>
      </c>
      <c r="B77" t="s">
        <v>1394</v>
      </c>
      <c r="C77" t="s">
        <v>1394</v>
      </c>
      <c r="D77" t="s">
        <v>1394</v>
      </c>
      <c r="E77" t="s">
        <v>43</v>
      </c>
      <c r="F77" t="s">
        <v>1396</v>
      </c>
      <c r="G77" t="s">
        <v>1394</v>
      </c>
      <c r="H77" t="s">
        <v>43</v>
      </c>
      <c r="I77" t="s">
        <v>1400</v>
      </c>
      <c r="J77" s="3">
        <f t="shared" si="1"/>
        <v>2.625</v>
      </c>
    </row>
    <row r="78" spans="1:10" x14ac:dyDescent="0.3">
      <c r="A78" t="s">
        <v>128</v>
      </c>
      <c r="B78" t="s">
        <v>1395</v>
      </c>
      <c r="C78" t="s">
        <v>1393</v>
      </c>
      <c r="D78" t="s">
        <v>1394</v>
      </c>
      <c r="E78" t="s">
        <v>1393</v>
      </c>
      <c r="F78" t="s">
        <v>1395</v>
      </c>
      <c r="G78" t="s">
        <v>1393</v>
      </c>
      <c r="H78" t="s">
        <v>1394</v>
      </c>
      <c r="I78" t="s">
        <v>1394</v>
      </c>
      <c r="J78" s="3">
        <f t="shared" si="1"/>
        <v>3.78125</v>
      </c>
    </row>
    <row r="79" spans="1:10" x14ac:dyDescent="0.3">
      <c r="A79" t="s">
        <v>129</v>
      </c>
      <c r="B79" t="s">
        <v>1396</v>
      </c>
      <c r="C79" t="s">
        <v>43</v>
      </c>
      <c r="D79" t="s">
        <v>1397</v>
      </c>
      <c r="E79" t="s">
        <v>1395</v>
      </c>
      <c r="F79" t="s">
        <v>1395</v>
      </c>
      <c r="G79" t="s">
        <v>1396</v>
      </c>
      <c r="H79" t="s">
        <v>1395</v>
      </c>
      <c r="I79" t="s">
        <v>1395</v>
      </c>
      <c r="J79" s="3">
        <f t="shared" si="1"/>
        <v>3.0625</v>
      </c>
    </row>
    <row r="80" spans="1:10" x14ac:dyDescent="0.3">
      <c r="A80" t="s">
        <v>130</v>
      </c>
      <c r="B80" t="s">
        <v>1393</v>
      </c>
      <c r="C80" t="s">
        <v>1394</v>
      </c>
      <c r="D80" t="s">
        <v>1399</v>
      </c>
      <c r="E80" t="s">
        <v>1393</v>
      </c>
      <c r="F80" t="s">
        <v>1396</v>
      </c>
      <c r="G80" t="s">
        <v>1396</v>
      </c>
      <c r="H80" t="s">
        <v>43</v>
      </c>
      <c r="I80" t="s">
        <v>1394</v>
      </c>
      <c r="J80" s="3">
        <f t="shared" si="1"/>
        <v>3.25</v>
      </c>
    </row>
    <row r="81" spans="1:10" x14ac:dyDescent="0.3">
      <c r="A81" t="s">
        <v>131</v>
      </c>
      <c r="B81" t="s">
        <v>1394</v>
      </c>
      <c r="C81" t="s">
        <v>1394</v>
      </c>
      <c r="D81" t="s">
        <v>1395</v>
      </c>
      <c r="E81" t="s">
        <v>1395</v>
      </c>
      <c r="F81" t="s">
        <v>1399</v>
      </c>
      <c r="G81" t="s">
        <v>1398</v>
      </c>
      <c r="H81" t="s">
        <v>43</v>
      </c>
      <c r="I81" t="s">
        <v>1393</v>
      </c>
      <c r="J81" s="3">
        <f t="shared" si="1"/>
        <v>3.1875</v>
      </c>
    </row>
    <row r="82" spans="1:10" x14ac:dyDescent="0.3">
      <c r="A82" t="s">
        <v>132</v>
      </c>
      <c r="B82" t="s">
        <v>1393</v>
      </c>
      <c r="C82" t="s">
        <v>1397</v>
      </c>
      <c r="D82" t="s">
        <v>43</v>
      </c>
      <c r="E82" t="s">
        <v>1396</v>
      </c>
      <c r="F82" t="s">
        <v>1396</v>
      </c>
      <c r="G82" t="s">
        <v>1393</v>
      </c>
      <c r="H82" t="s">
        <v>1395</v>
      </c>
      <c r="I82" t="s">
        <v>43</v>
      </c>
      <c r="J82" s="3">
        <f t="shared" si="1"/>
        <v>3.0208333333333335</v>
      </c>
    </row>
    <row r="83" spans="1:10" x14ac:dyDescent="0.3">
      <c r="A83" t="s">
        <v>133</v>
      </c>
      <c r="B83" t="s">
        <v>1398</v>
      </c>
      <c r="C83" t="s">
        <v>43</v>
      </c>
      <c r="D83" t="s">
        <v>1400</v>
      </c>
      <c r="E83" t="s">
        <v>1394</v>
      </c>
      <c r="F83" t="s">
        <v>1393</v>
      </c>
      <c r="G83" t="s">
        <v>1394</v>
      </c>
      <c r="H83" t="s">
        <v>1396</v>
      </c>
      <c r="I83" t="s">
        <v>1397</v>
      </c>
      <c r="J83" s="3">
        <f t="shared" si="1"/>
        <v>2.6979166666666665</v>
      </c>
    </row>
    <row r="84" spans="1:10" x14ac:dyDescent="0.3">
      <c r="A84" t="s">
        <v>134</v>
      </c>
      <c r="B84" t="s">
        <v>1399</v>
      </c>
      <c r="C84" t="s">
        <v>1397</v>
      </c>
      <c r="D84" t="s">
        <v>1397</v>
      </c>
      <c r="E84" t="s">
        <v>1398</v>
      </c>
      <c r="F84" t="s">
        <v>1396</v>
      </c>
      <c r="G84" t="s">
        <v>1396</v>
      </c>
      <c r="H84" t="s">
        <v>1393</v>
      </c>
      <c r="I84" t="s">
        <v>1398</v>
      </c>
      <c r="J84" s="3">
        <f t="shared" si="1"/>
        <v>2.5833333333333335</v>
      </c>
    </row>
    <row r="85" spans="1:10" x14ac:dyDescent="0.3">
      <c r="A85" t="s">
        <v>135</v>
      </c>
      <c r="B85" t="s">
        <v>1394</v>
      </c>
      <c r="C85" t="s">
        <v>43</v>
      </c>
      <c r="D85" t="s">
        <v>1397</v>
      </c>
      <c r="E85" t="s">
        <v>1395</v>
      </c>
      <c r="F85" t="s">
        <v>1393</v>
      </c>
      <c r="G85" t="s">
        <v>1394</v>
      </c>
      <c r="H85" t="s">
        <v>1397</v>
      </c>
      <c r="I85" t="s">
        <v>1397</v>
      </c>
      <c r="J85" s="3">
        <f t="shared" si="1"/>
        <v>3.0729166666666665</v>
      </c>
    </row>
    <row r="86" spans="1:10" x14ac:dyDescent="0.3">
      <c r="A86" t="s">
        <v>136</v>
      </c>
      <c r="B86" t="s">
        <v>1393</v>
      </c>
      <c r="C86" t="s">
        <v>1393</v>
      </c>
      <c r="D86" t="s">
        <v>1396</v>
      </c>
      <c r="E86" t="s">
        <v>1396</v>
      </c>
      <c r="F86" t="s">
        <v>1395</v>
      </c>
      <c r="G86" t="s">
        <v>1394</v>
      </c>
      <c r="H86" t="s">
        <v>1396</v>
      </c>
      <c r="I86" t="s">
        <v>1393</v>
      </c>
      <c r="J86" s="3">
        <f t="shared" si="1"/>
        <v>3.6041666666666665</v>
      </c>
    </row>
    <row r="87" spans="1:10" x14ac:dyDescent="0.3">
      <c r="A87" t="s">
        <v>137</v>
      </c>
      <c r="B87" t="s">
        <v>1395</v>
      </c>
      <c r="C87" t="s">
        <v>1396</v>
      </c>
      <c r="D87" t="s">
        <v>1399</v>
      </c>
      <c r="E87" t="s">
        <v>1397</v>
      </c>
      <c r="F87" t="s">
        <v>43</v>
      </c>
      <c r="G87" t="s">
        <v>1396</v>
      </c>
      <c r="H87" t="s">
        <v>1394</v>
      </c>
      <c r="I87" t="s">
        <v>1394</v>
      </c>
      <c r="J87" s="3">
        <f t="shared" si="1"/>
        <v>3.0208333333333335</v>
      </c>
    </row>
    <row r="88" spans="1:10" x14ac:dyDescent="0.3">
      <c r="A88" t="s">
        <v>138</v>
      </c>
      <c r="B88" t="s">
        <v>1399</v>
      </c>
      <c r="C88" t="s">
        <v>1397</v>
      </c>
      <c r="D88" t="s">
        <v>1395</v>
      </c>
      <c r="E88" t="s">
        <v>1393</v>
      </c>
      <c r="F88" t="s">
        <v>1396</v>
      </c>
      <c r="G88" t="s">
        <v>1397</v>
      </c>
      <c r="H88" t="s">
        <v>1395</v>
      </c>
      <c r="I88" t="s">
        <v>1394</v>
      </c>
      <c r="J88" s="3">
        <f t="shared" si="1"/>
        <v>2.9583333333333335</v>
      </c>
    </row>
    <row r="89" spans="1:10" x14ac:dyDescent="0.3">
      <c r="A89" t="s">
        <v>139</v>
      </c>
      <c r="B89" t="s">
        <v>1397</v>
      </c>
      <c r="C89" t="s">
        <v>43</v>
      </c>
      <c r="D89" t="s">
        <v>1394</v>
      </c>
      <c r="E89" t="s">
        <v>1393</v>
      </c>
      <c r="F89" t="s">
        <v>1395</v>
      </c>
      <c r="G89" t="s">
        <v>1395</v>
      </c>
      <c r="H89" t="s">
        <v>1397</v>
      </c>
      <c r="I89" t="s">
        <v>1394</v>
      </c>
      <c r="J89" s="3">
        <f t="shared" si="1"/>
        <v>3.15625</v>
      </c>
    </row>
    <row r="90" spans="1:10" x14ac:dyDescent="0.3">
      <c r="A90" t="s">
        <v>140</v>
      </c>
      <c r="B90" t="s">
        <v>1398</v>
      </c>
      <c r="C90" t="s">
        <v>1397</v>
      </c>
      <c r="D90" t="s">
        <v>1396</v>
      </c>
      <c r="E90" t="s">
        <v>1394</v>
      </c>
      <c r="F90" t="s">
        <v>1399</v>
      </c>
      <c r="G90" t="s">
        <v>1395</v>
      </c>
      <c r="H90" t="s">
        <v>1398</v>
      </c>
      <c r="I90" t="s">
        <v>1394</v>
      </c>
      <c r="J90" s="3">
        <f t="shared" si="1"/>
        <v>2.90625</v>
      </c>
    </row>
    <row r="91" spans="1:10" x14ac:dyDescent="0.3">
      <c r="A91" t="s">
        <v>141</v>
      </c>
      <c r="B91" t="s">
        <v>1394</v>
      </c>
      <c r="C91" t="s">
        <v>1398</v>
      </c>
      <c r="D91" t="s">
        <v>1394</v>
      </c>
      <c r="E91" t="s">
        <v>1399</v>
      </c>
      <c r="F91" t="s">
        <v>1396</v>
      </c>
      <c r="G91" t="s">
        <v>1394</v>
      </c>
      <c r="H91" t="s">
        <v>1394</v>
      </c>
      <c r="I91" t="s">
        <v>1395</v>
      </c>
      <c r="J91" s="3">
        <f t="shared" si="1"/>
        <v>3.09375</v>
      </c>
    </row>
    <row r="92" spans="1:10" x14ac:dyDescent="0.3">
      <c r="A92" t="s">
        <v>142</v>
      </c>
      <c r="B92" t="s">
        <v>1397</v>
      </c>
      <c r="C92" t="s">
        <v>1399</v>
      </c>
      <c r="D92" t="s">
        <v>1393</v>
      </c>
      <c r="E92" t="s">
        <v>1395</v>
      </c>
      <c r="F92" t="s">
        <v>1394</v>
      </c>
      <c r="G92" t="s">
        <v>1400</v>
      </c>
      <c r="H92" t="s">
        <v>1393</v>
      </c>
      <c r="I92" t="s">
        <v>1393</v>
      </c>
      <c r="J92" s="3">
        <f t="shared" si="1"/>
        <v>2.875</v>
      </c>
    </row>
    <row r="93" spans="1:10" x14ac:dyDescent="0.3">
      <c r="A93" t="s">
        <v>143</v>
      </c>
      <c r="B93" t="s">
        <v>1393</v>
      </c>
      <c r="C93" t="s">
        <v>1395</v>
      </c>
      <c r="D93" t="s">
        <v>43</v>
      </c>
      <c r="E93" t="s">
        <v>43</v>
      </c>
      <c r="F93" t="s">
        <v>1397</v>
      </c>
      <c r="G93" t="s">
        <v>1400</v>
      </c>
      <c r="H93" t="s">
        <v>1399</v>
      </c>
      <c r="I93" t="s">
        <v>1395</v>
      </c>
      <c r="J93" s="3">
        <f t="shared" si="1"/>
        <v>2.6041666666666665</v>
      </c>
    </row>
    <row r="94" spans="1:10" x14ac:dyDescent="0.3">
      <c r="A94" t="s">
        <v>144</v>
      </c>
      <c r="B94" t="s">
        <v>1394</v>
      </c>
      <c r="C94" t="s">
        <v>1399</v>
      </c>
      <c r="D94" t="s">
        <v>1397</v>
      </c>
      <c r="E94" t="s">
        <v>1393</v>
      </c>
      <c r="F94" t="s">
        <v>1397</v>
      </c>
      <c r="G94" t="s">
        <v>1395</v>
      </c>
      <c r="H94" t="s">
        <v>1395</v>
      </c>
      <c r="I94" t="s">
        <v>1395</v>
      </c>
      <c r="J94" s="3">
        <f t="shared" si="1"/>
        <v>3.0625</v>
      </c>
    </row>
    <row r="95" spans="1:10" x14ac:dyDescent="0.3">
      <c r="A95" t="s">
        <v>145</v>
      </c>
      <c r="B95" t="s">
        <v>1394</v>
      </c>
      <c r="C95" t="s">
        <v>1393</v>
      </c>
      <c r="D95" t="s">
        <v>1394</v>
      </c>
      <c r="E95" t="s">
        <v>1395</v>
      </c>
      <c r="F95" t="s">
        <v>1399</v>
      </c>
      <c r="G95" t="s">
        <v>1393</v>
      </c>
      <c r="H95" t="s">
        <v>1399</v>
      </c>
      <c r="I95" t="s">
        <v>1394</v>
      </c>
      <c r="J95" s="3">
        <f t="shared" si="1"/>
        <v>3.2083333333333335</v>
      </c>
    </row>
    <row r="96" spans="1:10" x14ac:dyDescent="0.3">
      <c r="A96" t="s">
        <v>146</v>
      </c>
      <c r="B96" t="s">
        <v>1395</v>
      </c>
      <c r="C96" t="s">
        <v>1398</v>
      </c>
      <c r="D96" t="s">
        <v>1398</v>
      </c>
      <c r="E96" t="s">
        <v>1395</v>
      </c>
      <c r="F96" t="s">
        <v>1393</v>
      </c>
      <c r="G96" t="s">
        <v>1396</v>
      </c>
      <c r="H96" t="s">
        <v>1395</v>
      </c>
      <c r="I96" t="s">
        <v>43</v>
      </c>
      <c r="J96" s="3">
        <f t="shared" si="1"/>
        <v>3</v>
      </c>
    </row>
    <row r="97" spans="1:10" x14ac:dyDescent="0.3">
      <c r="A97" t="s">
        <v>147</v>
      </c>
      <c r="B97" t="s">
        <v>1394</v>
      </c>
      <c r="C97" t="s">
        <v>1395</v>
      </c>
      <c r="D97" t="s">
        <v>43</v>
      </c>
      <c r="E97" t="s">
        <v>1393</v>
      </c>
      <c r="F97" t="s">
        <v>1395</v>
      </c>
      <c r="G97" t="s">
        <v>1398</v>
      </c>
      <c r="H97" t="s">
        <v>1398</v>
      </c>
      <c r="I97" t="s">
        <v>1393</v>
      </c>
      <c r="J97" s="3">
        <f t="shared" si="1"/>
        <v>3.3541666666666665</v>
      </c>
    </row>
    <row r="98" spans="1:10" x14ac:dyDescent="0.3">
      <c r="A98" t="s">
        <v>148</v>
      </c>
      <c r="B98" t="s">
        <v>1393</v>
      </c>
      <c r="C98" t="s">
        <v>1393</v>
      </c>
      <c r="D98" t="s">
        <v>43</v>
      </c>
      <c r="E98" t="s">
        <v>1394</v>
      </c>
      <c r="F98" t="s">
        <v>1397</v>
      </c>
      <c r="G98" t="s">
        <v>43</v>
      </c>
      <c r="H98" t="s">
        <v>1395</v>
      </c>
      <c r="I98" t="s">
        <v>1394</v>
      </c>
      <c r="J98" s="3">
        <f t="shared" si="1"/>
        <v>3.4270833333333335</v>
      </c>
    </row>
    <row r="99" spans="1:10" x14ac:dyDescent="0.3">
      <c r="A99" t="s">
        <v>149</v>
      </c>
      <c r="B99" t="s">
        <v>1399</v>
      </c>
      <c r="C99" t="s">
        <v>1396</v>
      </c>
      <c r="D99" t="s">
        <v>1394</v>
      </c>
      <c r="E99" t="s">
        <v>1397</v>
      </c>
      <c r="F99" t="s">
        <v>1395</v>
      </c>
      <c r="G99" t="s">
        <v>1394</v>
      </c>
      <c r="H99" t="s">
        <v>1393</v>
      </c>
      <c r="I99" t="s">
        <v>1398</v>
      </c>
      <c r="J99" s="3">
        <f t="shared" si="1"/>
        <v>2.84375</v>
      </c>
    </row>
    <row r="100" spans="1:10" x14ac:dyDescent="0.3">
      <c r="A100" t="s">
        <v>150</v>
      </c>
      <c r="B100" t="s">
        <v>43</v>
      </c>
      <c r="C100" t="s">
        <v>1397</v>
      </c>
      <c r="D100" t="s">
        <v>1399</v>
      </c>
      <c r="E100" t="s">
        <v>1393</v>
      </c>
      <c r="F100" t="s">
        <v>1394</v>
      </c>
      <c r="G100" t="s">
        <v>1396</v>
      </c>
      <c r="H100" t="s">
        <v>1399</v>
      </c>
      <c r="I100" t="s">
        <v>1399</v>
      </c>
      <c r="J100" s="3">
        <f t="shared" si="1"/>
        <v>2.2291666666666665</v>
      </c>
    </row>
    <row r="101" spans="1:10" x14ac:dyDescent="0.3">
      <c r="A101" t="s">
        <v>151</v>
      </c>
      <c r="B101" t="s">
        <v>1395</v>
      </c>
      <c r="C101" t="s">
        <v>1394</v>
      </c>
      <c r="D101" t="s">
        <v>1395</v>
      </c>
      <c r="E101" t="s">
        <v>1396</v>
      </c>
      <c r="F101" t="s">
        <v>43</v>
      </c>
      <c r="G101" t="s">
        <v>1394</v>
      </c>
      <c r="H101" t="s">
        <v>1398</v>
      </c>
      <c r="I101" t="s">
        <v>1397</v>
      </c>
      <c r="J101" s="3">
        <f t="shared" si="1"/>
        <v>3.125</v>
      </c>
    </row>
    <row r="102" spans="1:10" x14ac:dyDescent="0.3">
      <c r="A102" t="s">
        <v>152</v>
      </c>
      <c r="B102" t="s">
        <v>1398</v>
      </c>
      <c r="C102" t="s">
        <v>1398</v>
      </c>
      <c r="D102" t="s">
        <v>1396</v>
      </c>
      <c r="E102" t="s">
        <v>1395</v>
      </c>
      <c r="F102" t="s">
        <v>1395</v>
      </c>
      <c r="G102" t="s">
        <v>1395</v>
      </c>
      <c r="H102" t="s">
        <v>1398</v>
      </c>
      <c r="I102" t="s">
        <v>1393</v>
      </c>
      <c r="J102" s="3">
        <f t="shared" si="1"/>
        <v>3.0833333333333335</v>
      </c>
    </row>
    <row r="103" spans="1:10" x14ac:dyDescent="0.3">
      <c r="A103" t="s">
        <v>153</v>
      </c>
      <c r="B103" t="s">
        <v>1394</v>
      </c>
      <c r="C103" t="s">
        <v>1398</v>
      </c>
      <c r="D103" t="s">
        <v>1394</v>
      </c>
      <c r="E103" t="s">
        <v>1393</v>
      </c>
      <c r="F103" t="s">
        <v>1393</v>
      </c>
      <c r="G103" t="s">
        <v>1396</v>
      </c>
      <c r="H103" t="s">
        <v>1395</v>
      </c>
      <c r="I103" t="s">
        <v>1400</v>
      </c>
      <c r="J103" s="3">
        <f t="shared" si="1"/>
        <v>2.875</v>
      </c>
    </row>
    <row r="104" spans="1:10" x14ac:dyDescent="0.3">
      <c r="A104" t="s">
        <v>154</v>
      </c>
      <c r="B104" t="s">
        <v>43</v>
      </c>
      <c r="C104" t="s">
        <v>1400</v>
      </c>
      <c r="D104" t="s">
        <v>1394</v>
      </c>
      <c r="E104" t="s">
        <v>1393</v>
      </c>
      <c r="F104" t="s">
        <v>1393</v>
      </c>
      <c r="G104" t="s">
        <v>1396</v>
      </c>
      <c r="H104" t="s">
        <v>1397</v>
      </c>
      <c r="I104" t="s">
        <v>1395</v>
      </c>
      <c r="J104" s="3">
        <f t="shared" si="1"/>
        <v>2.65625</v>
      </c>
    </row>
    <row r="105" spans="1:10" x14ac:dyDescent="0.3">
      <c r="A105" t="s">
        <v>155</v>
      </c>
      <c r="B105" t="s">
        <v>1394</v>
      </c>
      <c r="C105" t="s">
        <v>1395</v>
      </c>
      <c r="D105" t="s">
        <v>1396</v>
      </c>
      <c r="E105" t="s">
        <v>1397</v>
      </c>
      <c r="F105" t="s">
        <v>1397</v>
      </c>
      <c r="G105" t="s">
        <v>1398</v>
      </c>
      <c r="H105" t="s">
        <v>1397</v>
      </c>
      <c r="I105" t="s">
        <v>1393</v>
      </c>
      <c r="J105" s="3">
        <f t="shared" si="1"/>
        <v>3.25</v>
      </c>
    </row>
    <row r="106" spans="1:10" x14ac:dyDescent="0.3">
      <c r="A106" t="s">
        <v>156</v>
      </c>
      <c r="B106" t="s">
        <v>1398</v>
      </c>
      <c r="C106" t="s">
        <v>1394</v>
      </c>
      <c r="D106" t="s">
        <v>1396</v>
      </c>
      <c r="E106" t="s">
        <v>1395</v>
      </c>
      <c r="F106" t="s">
        <v>1397</v>
      </c>
      <c r="G106" t="s">
        <v>1394</v>
      </c>
      <c r="H106" t="s">
        <v>1394</v>
      </c>
      <c r="I106" t="s">
        <v>1394</v>
      </c>
      <c r="J106" s="3">
        <f t="shared" si="1"/>
        <v>3.3645833333333335</v>
      </c>
    </row>
    <row r="107" spans="1:10" x14ac:dyDescent="0.3">
      <c r="A107" t="s">
        <v>157</v>
      </c>
      <c r="B107" t="s">
        <v>1394</v>
      </c>
      <c r="C107" t="s">
        <v>43</v>
      </c>
      <c r="D107" t="s">
        <v>1396</v>
      </c>
      <c r="E107" t="s">
        <v>1395</v>
      </c>
      <c r="F107" t="s">
        <v>1395</v>
      </c>
      <c r="G107" t="s">
        <v>1400</v>
      </c>
      <c r="H107" t="s">
        <v>1396</v>
      </c>
      <c r="I107" t="s">
        <v>1394</v>
      </c>
      <c r="J107" s="3">
        <f t="shared" si="1"/>
        <v>2.9375</v>
      </c>
    </row>
    <row r="108" spans="1:10" x14ac:dyDescent="0.3">
      <c r="A108" t="s">
        <v>158</v>
      </c>
      <c r="B108" t="s">
        <v>1398</v>
      </c>
      <c r="C108" t="s">
        <v>1397</v>
      </c>
      <c r="D108" t="s">
        <v>1400</v>
      </c>
      <c r="E108" t="s">
        <v>1393</v>
      </c>
      <c r="F108" t="s">
        <v>1396</v>
      </c>
      <c r="G108" t="s">
        <v>1398</v>
      </c>
      <c r="H108" t="s">
        <v>1398</v>
      </c>
      <c r="I108" t="s">
        <v>43</v>
      </c>
      <c r="J108" s="3">
        <f t="shared" si="1"/>
        <v>2.4791666666666665</v>
      </c>
    </row>
    <row r="109" spans="1:10" x14ac:dyDescent="0.3">
      <c r="A109" t="s">
        <v>159</v>
      </c>
      <c r="B109" t="s">
        <v>1393</v>
      </c>
      <c r="C109" t="s">
        <v>1394</v>
      </c>
      <c r="D109" t="s">
        <v>1393</v>
      </c>
      <c r="E109" t="s">
        <v>1394</v>
      </c>
      <c r="F109" t="s">
        <v>1400</v>
      </c>
      <c r="G109" t="s">
        <v>1396</v>
      </c>
      <c r="H109" t="s">
        <v>1399</v>
      </c>
      <c r="I109" t="s">
        <v>1395</v>
      </c>
      <c r="J109" s="3">
        <f t="shared" si="1"/>
        <v>3.0520833333333335</v>
      </c>
    </row>
    <row r="110" spans="1:10" x14ac:dyDescent="0.3">
      <c r="A110" t="s">
        <v>160</v>
      </c>
      <c r="B110" t="s">
        <v>43</v>
      </c>
      <c r="C110" t="s">
        <v>1395</v>
      </c>
      <c r="D110" t="s">
        <v>1394</v>
      </c>
      <c r="E110" t="s">
        <v>1398</v>
      </c>
      <c r="F110" t="s">
        <v>1399</v>
      </c>
      <c r="G110" t="s">
        <v>1393</v>
      </c>
      <c r="H110" t="s">
        <v>1396</v>
      </c>
      <c r="I110" t="s">
        <v>1396</v>
      </c>
      <c r="J110" s="3">
        <f t="shared" si="1"/>
        <v>2.8333333333333335</v>
      </c>
    </row>
    <row r="111" spans="1:10" x14ac:dyDescent="0.3">
      <c r="A111" t="s">
        <v>161</v>
      </c>
      <c r="B111" t="s">
        <v>1394</v>
      </c>
      <c r="C111" t="s">
        <v>1395</v>
      </c>
      <c r="D111" t="s">
        <v>1393</v>
      </c>
      <c r="E111" t="s">
        <v>1394</v>
      </c>
      <c r="F111" t="s">
        <v>1394</v>
      </c>
      <c r="G111" t="s">
        <v>1396</v>
      </c>
      <c r="H111" t="s">
        <v>1397</v>
      </c>
      <c r="I111" t="s">
        <v>1394</v>
      </c>
      <c r="J111" s="3">
        <f t="shared" si="1"/>
        <v>3.5416666666666665</v>
      </c>
    </row>
    <row r="112" spans="1:10" x14ac:dyDescent="0.3">
      <c r="A112" t="s">
        <v>162</v>
      </c>
      <c r="B112" t="s">
        <v>1393</v>
      </c>
      <c r="C112" t="s">
        <v>1395</v>
      </c>
      <c r="D112" t="s">
        <v>1397</v>
      </c>
      <c r="E112" t="s">
        <v>1394</v>
      </c>
      <c r="F112" t="s">
        <v>1395</v>
      </c>
      <c r="G112" t="s">
        <v>1394</v>
      </c>
      <c r="H112" t="s">
        <v>1398</v>
      </c>
      <c r="I112" t="s">
        <v>1396</v>
      </c>
      <c r="J112" s="3">
        <f t="shared" si="1"/>
        <v>3.3645833333333335</v>
      </c>
    </row>
    <row r="113" spans="1:10" x14ac:dyDescent="0.3">
      <c r="A113" t="s">
        <v>163</v>
      </c>
      <c r="B113" t="s">
        <v>1393</v>
      </c>
      <c r="C113" t="s">
        <v>1393</v>
      </c>
      <c r="D113" t="s">
        <v>1395</v>
      </c>
      <c r="E113" t="s">
        <v>1396</v>
      </c>
      <c r="F113" t="s">
        <v>1397</v>
      </c>
      <c r="G113" t="s">
        <v>1393</v>
      </c>
      <c r="H113" t="s">
        <v>1394</v>
      </c>
      <c r="I113" t="s">
        <v>1397</v>
      </c>
      <c r="J113" s="3">
        <f t="shared" si="1"/>
        <v>3.4895833333333335</v>
      </c>
    </row>
    <row r="114" spans="1:10" x14ac:dyDescent="0.3">
      <c r="A114" t="s">
        <v>164</v>
      </c>
      <c r="B114" t="s">
        <v>1395</v>
      </c>
      <c r="C114" t="s">
        <v>1394</v>
      </c>
      <c r="D114" t="s">
        <v>1395</v>
      </c>
      <c r="E114" t="s">
        <v>1399</v>
      </c>
      <c r="F114" t="s">
        <v>1395</v>
      </c>
      <c r="G114" t="s">
        <v>1396</v>
      </c>
      <c r="H114" t="s">
        <v>1395</v>
      </c>
      <c r="I114" t="s">
        <v>1395</v>
      </c>
      <c r="J114" s="3">
        <f t="shared" si="1"/>
        <v>3.1875</v>
      </c>
    </row>
    <row r="115" spans="1:10" x14ac:dyDescent="0.3">
      <c r="A115" t="s">
        <v>165</v>
      </c>
      <c r="B115" t="s">
        <v>43</v>
      </c>
      <c r="C115" t="s">
        <v>1400</v>
      </c>
      <c r="D115" t="s">
        <v>1395</v>
      </c>
      <c r="E115" t="s">
        <v>1394</v>
      </c>
      <c r="F115" t="s">
        <v>1397</v>
      </c>
      <c r="G115" t="s">
        <v>1394</v>
      </c>
      <c r="H115" t="s">
        <v>1393</v>
      </c>
      <c r="I115" t="s">
        <v>43</v>
      </c>
      <c r="J115" s="3">
        <f t="shared" si="1"/>
        <v>2.46875</v>
      </c>
    </row>
    <row r="116" spans="1:10" x14ac:dyDescent="0.3">
      <c r="A116" t="s">
        <v>166</v>
      </c>
      <c r="B116" t="s">
        <v>1395</v>
      </c>
      <c r="C116" t="s">
        <v>1398</v>
      </c>
      <c r="D116" t="s">
        <v>1395</v>
      </c>
      <c r="E116" t="s">
        <v>43</v>
      </c>
      <c r="F116" t="s">
        <v>1396</v>
      </c>
      <c r="G116" t="s">
        <v>1394</v>
      </c>
      <c r="H116" t="s">
        <v>1393</v>
      </c>
      <c r="I116" t="s">
        <v>1396</v>
      </c>
      <c r="J116" s="3">
        <f t="shared" si="1"/>
        <v>3.1041666666666665</v>
      </c>
    </row>
    <row r="117" spans="1:10" x14ac:dyDescent="0.3">
      <c r="A117" t="s">
        <v>167</v>
      </c>
      <c r="B117" t="s">
        <v>1397</v>
      </c>
      <c r="C117" t="s">
        <v>43</v>
      </c>
      <c r="D117" t="s">
        <v>1393</v>
      </c>
      <c r="E117" t="s">
        <v>1396</v>
      </c>
      <c r="F117" t="s">
        <v>1395</v>
      </c>
      <c r="G117" t="s">
        <v>1396</v>
      </c>
      <c r="H117" t="s">
        <v>1393</v>
      </c>
      <c r="I117" t="s">
        <v>1394</v>
      </c>
      <c r="J117" s="3">
        <f t="shared" si="1"/>
        <v>3.1666666666666665</v>
      </c>
    </row>
    <row r="118" spans="1:10" x14ac:dyDescent="0.3">
      <c r="A118" t="s">
        <v>168</v>
      </c>
      <c r="B118" t="s">
        <v>1396</v>
      </c>
      <c r="C118" t="s">
        <v>43</v>
      </c>
      <c r="D118" t="s">
        <v>1393</v>
      </c>
      <c r="E118" t="s">
        <v>1396</v>
      </c>
      <c r="F118" t="s">
        <v>1398</v>
      </c>
      <c r="G118" t="s">
        <v>1399</v>
      </c>
      <c r="H118" t="s">
        <v>1394</v>
      </c>
      <c r="I118" t="s">
        <v>1393</v>
      </c>
      <c r="J118" s="3">
        <f t="shared" si="1"/>
        <v>2.96875</v>
      </c>
    </row>
    <row r="119" spans="1:10" x14ac:dyDescent="0.3">
      <c r="A119" t="s">
        <v>169</v>
      </c>
      <c r="B119" t="s">
        <v>1399</v>
      </c>
      <c r="C119" t="s">
        <v>1400</v>
      </c>
      <c r="D119" t="s">
        <v>1396</v>
      </c>
      <c r="E119" t="s">
        <v>1393</v>
      </c>
      <c r="F119" t="s">
        <v>43</v>
      </c>
      <c r="G119" t="s">
        <v>1395</v>
      </c>
      <c r="H119" t="s">
        <v>43</v>
      </c>
      <c r="I119" t="s">
        <v>1396</v>
      </c>
      <c r="J119" s="3">
        <f t="shared" si="1"/>
        <v>2.125</v>
      </c>
    </row>
    <row r="120" spans="1:10" x14ac:dyDescent="0.3">
      <c r="A120" t="s">
        <v>170</v>
      </c>
      <c r="B120" t="s">
        <v>1398</v>
      </c>
      <c r="C120" t="s">
        <v>1394</v>
      </c>
      <c r="D120" t="s">
        <v>1398</v>
      </c>
      <c r="E120" t="s">
        <v>1394</v>
      </c>
      <c r="F120" t="s">
        <v>1395</v>
      </c>
      <c r="G120" t="s">
        <v>1398</v>
      </c>
      <c r="H120" t="s">
        <v>1398</v>
      </c>
      <c r="I120" t="s">
        <v>1394</v>
      </c>
      <c r="J120" s="3">
        <f t="shared" si="1"/>
        <v>3.15625</v>
      </c>
    </row>
    <row r="121" spans="1:10" x14ac:dyDescent="0.3">
      <c r="A121" t="s">
        <v>171</v>
      </c>
      <c r="B121" t="s">
        <v>1394</v>
      </c>
      <c r="C121" t="s">
        <v>1395</v>
      </c>
      <c r="D121" t="s">
        <v>1396</v>
      </c>
      <c r="E121" t="s">
        <v>1395</v>
      </c>
      <c r="F121" t="s">
        <v>1393</v>
      </c>
      <c r="G121" t="s">
        <v>1394</v>
      </c>
      <c r="H121" t="s">
        <v>1397</v>
      </c>
      <c r="I121" t="s">
        <v>43</v>
      </c>
      <c r="J121" s="3">
        <f t="shared" si="1"/>
        <v>3.21875</v>
      </c>
    </row>
    <row r="122" spans="1:10" x14ac:dyDescent="0.3">
      <c r="A122" t="s">
        <v>172</v>
      </c>
      <c r="B122" t="s">
        <v>1393</v>
      </c>
      <c r="C122" t="s">
        <v>1396</v>
      </c>
      <c r="D122" t="s">
        <v>1398</v>
      </c>
      <c r="E122" t="s">
        <v>1393</v>
      </c>
      <c r="F122" t="s">
        <v>1398</v>
      </c>
      <c r="G122" t="s">
        <v>1393</v>
      </c>
      <c r="H122" t="s">
        <v>1396</v>
      </c>
      <c r="I122" t="s">
        <v>1396</v>
      </c>
      <c r="J122" s="3">
        <f t="shared" si="1"/>
        <v>3.2916666666666665</v>
      </c>
    </row>
    <row r="123" spans="1:10" x14ac:dyDescent="0.3">
      <c r="A123" t="s">
        <v>173</v>
      </c>
      <c r="B123" t="s">
        <v>1396</v>
      </c>
      <c r="C123" t="s">
        <v>1395</v>
      </c>
      <c r="D123" t="s">
        <v>1395</v>
      </c>
      <c r="E123" t="s">
        <v>1396</v>
      </c>
      <c r="F123" t="s">
        <v>1395</v>
      </c>
      <c r="G123" t="s">
        <v>1397</v>
      </c>
      <c r="H123" t="s">
        <v>1395</v>
      </c>
      <c r="I123" t="s">
        <v>1395</v>
      </c>
      <c r="J123" s="3">
        <f t="shared" si="1"/>
        <v>3.2916666666666665</v>
      </c>
    </row>
    <row r="124" spans="1:10" x14ac:dyDescent="0.3">
      <c r="A124" t="s">
        <v>174</v>
      </c>
      <c r="B124" t="s">
        <v>1393</v>
      </c>
      <c r="C124" t="s">
        <v>1396</v>
      </c>
      <c r="D124" t="s">
        <v>1396</v>
      </c>
      <c r="E124" t="s">
        <v>1394</v>
      </c>
      <c r="F124" t="s">
        <v>1398</v>
      </c>
      <c r="G124" t="s">
        <v>1398</v>
      </c>
      <c r="H124" t="s">
        <v>1396</v>
      </c>
      <c r="I124" t="s">
        <v>1394</v>
      </c>
      <c r="J124" s="3">
        <f t="shared" si="1"/>
        <v>3.3020833333333335</v>
      </c>
    </row>
    <row r="125" spans="1:10" x14ac:dyDescent="0.3">
      <c r="A125" t="s">
        <v>175</v>
      </c>
      <c r="B125" t="s">
        <v>1396</v>
      </c>
      <c r="C125" t="s">
        <v>1393</v>
      </c>
      <c r="D125" t="s">
        <v>1393</v>
      </c>
      <c r="E125" t="s">
        <v>1395</v>
      </c>
      <c r="F125" t="s">
        <v>1393</v>
      </c>
      <c r="G125" t="s">
        <v>1395</v>
      </c>
      <c r="H125" t="s">
        <v>1396</v>
      </c>
      <c r="I125" t="s">
        <v>1393</v>
      </c>
      <c r="J125" s="3">
        <f t="shared" si="1"/>
        <v>3.6041666666666665</v>
      </c>
    </row>
    <row r="126" spans="1:10" x14ac:dyDescent="0.3">
      <c r="A126" t="s">
        <v>176</v>
      </c>
      <c r="B126" t="s">
        <v>1397</v>
      </c>
      <c r="C126" t="s">
        <v>1393</v>
      </c>
      <c r="D126" t="s">
        <v>1397</v>
      </c>
      <c r="E126" t="s">
        <v>1398</v>
      </c>
      <c r="F126" t="s">
        <v>1396</v>
      </c>
      <c r="G126" t="s">
        <v>1393</v>
      </c>
      <c r="H126" t="s">
        <v>1396</v>
      </c>
      <c r="I126" t="s">
        <v>1395</v>
      </c>
      <c r="J126" s="3">
        <f t="shared" si="1"/>
        <v>3.2083333333333335</v>
      </c>
    </row>
    <row r="127" spans="1:10" x14ac:dyDescent="0.3">
      <c r="A127" t="s">
        <v>177</v>
      </c>
      <c r="B127" t="s">
        <v>1399</v>
      </c>
      <c r="C127" t="s">
        <v>1393</v>
      </c>
      <c r="D127" t="s">
        <v>43</v>
      </c>
      <c r="E127" t="s">
        <v>1400</v>
      </c>
      <c r="F127" t="s">
        <v>1397</v>
      </c>
      <c r="G127" t="s">
        <v>1398</v>
      </c>
      <c r="H127" t="s">
        <v>1394</v>
      </c>
      <c r="I127" t="s">
        <v>1400</v>
      </c>
      <c r="J127" s="3">
        <f t="shared" si="1"/>
        <v>1.90625</v>
      </c>
    </row>
    <row r="128" spans="1:10" x14ac:dyDescent="0.3">
      <c r="A128" t="s">
        <v>178</v>
      </c>
      <c r="B128" t="s">
        <v>1396</v>
      </c>
      <c r="C128" t="s">
        <v>1399</v>
      </c>
      <c r="D128" t="s">
        <v>43</v>
      </c>
      <c r="E128" t="s">
        <v>1394</v>
      </c>
      <c r="F128" t="s">
        <v>1398</v>
      </c>
      <c r="G128" t="s">
        <v>1399</v>
      </c>
      <c r="H128" t="s">
        <v>1393</v>
      </c>
      <c r="I128" t="s">
        <v>1395</v>
      </c>
      <c r="J128" s="3">
        <f t="shared" si="1"/>
        <v>2.6770833333333335</v>
      </c>
    </row>
    <row r="129" spans="1:10" x14ac:dyDescent="0.3">
      <c r="A129" t="s">
        <v>179</v>
      </c>
      <c r="B129" t="s">
        <v>1398</v>
      </c>
      <c r="C129" t="s">
        <v>1394</v>
      </c>
      <c r="D129" t="s">
        <v>43</v>
      </c>
      <c r="E129" t="s">
        <v>1394</v>
      </c>
      <c r="F129" t="s">
        <v>1398</v>
      </c>
      <c r="G129" t="s">
        <v>1393</v>
      </c>
      <c r="H129" t="s">
        <v>1396</v>
      </c>
      <c r="I129" t="s">
        <v>43</v>
      </c>
      <c r="J129" s="3">
        <f t="shared" si="1"/>
        <v>2.9270833333333335</v>
      </c>
    </row>
    <row r="130" spans="1:10" x14ac:dyDescent="0.3">
      <c r="A130" t="s">
        <v>180</v>
      </c>
      <c r="B130" t="s">
        <v>1394</v>
      </c>
      <c r="C130" t="s">
        <v>1394</v>
      </c>
      <c r="D130" t="s">
        <v>1396</v>
      </c>
      <c r="E130" t="s">
        <v>1395</v>
      </c>
      <c r="F130" t="s">
        <v>1393</v>
      </c>
      <c r="G130" t="s">
        <v>1394</v>
      </c>
      <c r="H130" t="s">
        <v>1394</v>
      </c>
      <c r="I130" t="s">
        <v>1399</v>
      </c>
      <c r="J130" s="3">
        <f t="shared" si="1"/>
        <v>3.21875</v>
      </c>
    </row>
    <row r="131" spans="1:10" x14ac:dyDescent="0.3">
      <c r="A131" t="s">
        <v>181</v>
      </c>
      <c r="B131" t="s">
        <v>1397</v>
      </c>
      <c r="C131" t="s">
        <v>43</v>
      </c>
      <c r="D131" t="s">
        <v>1394</v>
      </c>
      <c r="E131" t="s">
        <v>1398</v>
      </c>
      <c r="F131" t="s">
        <v>1393</v>
      </c>
      <c r="G131" t="s">
        <v>1396</v>
      </c>
      <c r="H131" t="s">
        <v>1397</v>
      </c>
      <c r="I131" t="s">
        <v>1395</v>
      </c>
      <c r="J131" s="3">
        <f t="shared" ref="J131:J194" si="2">(VLOOKUP(B131,$N$27:$O$36, 2,0)*4+VLOOKUP(C131,$N$27:$O$36, 2,0)*4+VLOOKUP(D131,$N$27:$O$36, 2,0)*2+VLOOKUP(E131,$N$27:$O$36, 2,0)*3+VLOOKUP(F131,$N$27:$O$36, 2,0)*2+VLOOKUP(G131,$N$27:$O$36, 2,0)*2+VLOOKUP(H131,$N$27:$O$36, 2,0)*3+VLOOKUP(I131,$N$27:$O$36, 2,0)*4)/24</f>
        <v>2.9270833333333335</v>
      </c>
    </row>
    <row r="132" spans="1:10" x14ac:dyDescent="0.3">
      <c r="A132" t="s">
        <v>182</v>
      </c>
      <c r="B132" t="s">
        <v>43</v>
      </c>
      <c r="C132" t="s">
        <v>1396</v>
      </c>
      <c r="D132" t="s">
        <v>1396</v>
      </c>
      <c r="E132" t="s">
        <v>43</v>
      </c>
      <c r="F132" t="s">
        <v>1393</v>
      </c>
      <c r="G132" t="s">
        <v>1400</v>
      </c>
      <c r="H132" t="s">
        <v>1396</v>
      </c>
      <c r="I132" t="s">
        <v>1395</v>
      </c>
      <c r="J132" s="3">
        <f t="shared" si="2"/>
        <v>2.625</v>
      </c>
    </row>
    <row r="133" spans="1:10" x14ac:dyDescent="0.3">
      <c r="A133" t="s">
        <v>183</v>
      </c>
      <c r="B133" t="s">
        <v>1398</v>
      </c>
      <c r="C133" t="s">
        <v>1394</v>
      </c>
      <c r="D133" t="s">
        <v>1400</v>
      </c>
      <c r="E133" t="s">
        <v>1396</v>
      </c>
      <c r="F133" t="s">
        <v>1395</v>
      </c>
      <c r="G133" t="s">
        <v>1398</v>
      </c>
      <c r="H133" t="s">
        <v>1395</v>
      </c>
      <c r="I133" t="s">
        <v>1394</v>
      </c>
      <c r="J133" s="3">
        <f t="shared" si="2"/>
        <v>2.9791666666666665</v>
      </c>
    </row>
    <row r="134" spans="1:10" x14ac:dyDescent="0.3">
      <c r="A134" t="s">
        <v>184</v>
      </c>
      <c r="B134" t="s">
        <v>1397</v>
      </c>
      <c r="C134" t="s">
        <v>1393</v>
      </c>
      <c r="D134" t="s">
        <v>1398</v>
      </c>
      <c r="E134" t="s">
        <v>1394</v>
      </c>
      <c r="F134" t="s">
        <v>1397</v>
      </c>
      <c r="G134" t="s">
        <v>1400</v>
      </c>
      <c r="H134" t="s">
        <v>1396</v>
      </c>
      <c r="I134" t="s">
        <v>1397</v>
      </c>
      <c r="J134" s="3">
        <f t="shared" si="2"/>
        <v>2.8645833333333335</v>
      </c>
    </row>
    <row r="135" spans="1:10" x14ac:dyDescent="0.3">
      <c r="A135" t="s">
        <v>185</v>
      </c>
      <c r="B135" t="s">
        <v>1395</v>
      </c>
      <c r="C135" t="s">
        <v>1393</v>
      </c>
      <c r="D135" t="s">
        <v>1393</v>
      </c>
      <c r="E135" t="s">
        <v>1393</v>
      </c>
      <c r="F135" t="s">
        <v>1396</v>
      </c>
      <c r="G135" t="s">
        <v>1395</v>
      </c>
      <c r="H135" t="s">
        <v>1396</v>
      </c>
      <c r="I135" t="s">
        <v>43</v>
      </c>
      <c r="J135" s="3">
        <f t="shared" si="2"/>
        <v>3.3333333333333335</v>
      </c>
    </row>
    <row r="136" spans="1:10" x14ac:dyDescent="0.3">
      <c r="A136" t="s">
        <v>186</v>
      </c>
      <c r="B136" t="s">
        <v>1393</v>
      </c>
      <c r="C136" t="s">
        <v>1394</v>
      </c>
      <c r="D136" t="s">
        <v>1397</v>
      </c>
      <c r="E136" t="s">
        <v>1393</v>
      </c>
      <c r="F136" t="s">
        <v>1393</v>
      </c>
      <c r="G136" t="s">
        <v>1395</v>
      </c>
      <c r="H136" t="s">
        <v>1393</v>
      </c>
      <c r="I136" t="s">
        <v>1395</v>
      </c>
      <c r="J136" s="3">
        <f t="shared" si="2"/>
        <v>3.7291666666666665</v>
      </c>
    </row>
    <row r="137" spans="1:10" x14ac:dyDescent="0.3">
      <c r="A137" t="s">
        <v>187</v>
      </c>
      <c r="B137" t="s">
        <v>1394</v>
      </c>
      <c r="C137" t="s">
        <v>1396</v>
      </c>
      <c r="D137" t="s">
        <v>1396</v>
      </c>
      <c r="E137" t="s">
        <v>1394</v>
      </c>
      <c r="F137" t="s">
        <v>1396</v>
      </c>
      <c r="G137" t="s">
        <v>1396</v>
      </c>
      <c r="H137" t="s">
        <v>1393</v>
      </c>
      <c r="I137" t="s">
        <v>1399</v>
      </c>
      <c r="J137" s="3">
        <f t="shared" si="2"/>
        <v>3.0104166666666665</v>
      </c>
    </row>
    <row r="138" spans="1:10" x14ac:dyDescent="0.3">
      <c r="A138" t="s">
        <v>188</v>
      </c>
      <c r="B138" t="s">
        <v>1394</v>
      </c>
      <c r="C138" t="s">
        <v>1393</v>
      </c>
      <c r="D138" t="s">
        <v>1393</v>
      </c>
      <c r="E138" t="s">
        <v>1397</v>
      </c>
      <c r="F138" t="s">
        <v>43</v>
      </c>
      <c r="G138" t="s">
        <v>1398</v>
      </c>
      <c r="H138" t="s">
        <v>1395</v>
      </c>
      <c r="I138" t="s">
        <v>1394</v>
      </c>
      <c r="J138" s="3">
        <f t="shared" si="2"/>
        <v>3.40625</v>
      </c>
    </row>
    <row r="139" spans="1:10" x14ac:dyDescent="0.3">
      <c r="A139" t="s">
        <v>189</v>
      </c>
      <c r="B139" t="s">
        <v>1393</v>
      </c>
      <c r="C139" t="s">
        <v>1397</v>
      </c>
      <c r="D139" t="s">
        <v>1396</v>
      </c>
      <c r="E139" t="s">
        <v>1395</v>
      </c>
      <c r="F139" t="s">
        <v>1397</v>
      </c>
      <c r="G139" t="s">
        <v>1395</v>
      </c>
      <c r="H139" t="s">
        <v>1399</v>
      </c>
      <c r="I139" t="s">
        <v>1397</v>
      </c>
      <c r="J139" s="3">
        <f t="shared" si="2"/>
        <v>2.9166666666666665</v>
      </c>
    </row>
    <row r="140" spans="1:10" x14ac:dyDescent="0.3">
      <c r="A140" t="s">
        <v>190</v>
      </c>
      <c r="B140" t="s">
        <v>1394</v>
      </c>
      <c r="C140" t="s">
        <v>43</v>
      </c>
      <c r="D140" t="s">
        <v>1393</v>
      </c>
      <c r="E140" t="s">
        <v>1396</v>
      </c>
      <c r="F140" t="s">
        <v>1395</v>
      </c>
      <c r="G140" t="s">
        <v>1394</v>
      </c>
      <c r="H140" t="s">
        <v>1393</v>
      </c>
      <c r="I140" t="s">
        <v>1398</v>
      </c>
      <c r="J140" s="3">
        <f t="shared" si="2"/>
        <v>3.1875</v>
      </c>
    </row>
    <row r="141" spans="1:10" x14ac:dyDescent="0.3">
      <c r="A141" t="s">
        <v>191</v>
      </c>
      <c r="B141" t="s">
        <v>1393</v>
      </c>
      <c r="C141" t="s">
        <v>1396</v>
      </c>
      <c r="D141" t="s">
        <v>1399</v>
      </c>
      <c r="E141" t="s">
        <v>1393</v>
      </c>
      <c r="F141" t="s">
        <v>1394</v>
      </c>
      <c r="G141" t="s">
        <v>1396</v>
      </c>
      <c r="H141" t="s">
        <v>1396</v>
      </c>
      <c r="I141" t="s">
        <v>1397</v>
      </c>
      <c r="J141" s="3">
        <f t="shared" si="2"/>
        <v>3.1458333333333335</v>
      </c>
    </row>
    <row r="142" spans="1:10" x14ac:dyDescent="0.3">
      <c r="A142" t="s">
        <v>192</v>
      </c>
      <c r="B142" t="s">
        <v>1398</v>
      </c>
      <c r="C142" t="s">
        <v>1394</v>
      </c>
      <c r="D142" t="s">
        <v>1395</v>
      </c>
      <c r="E142" t="s">
        <v>1395</v>
      </c>
      <c r="F142" t="s">
        <v>1393</v>
      </c>
      <c r="G142" t="s">
        <v>43</v>
      </c>
      <c r="H142" t="s">
        <v>1398</v>
      </c>
      <c r="I142" t="s">
        <v>1397</v>
      </c>
      <c r="J142" s="3">
        <f t="shared" si="2"/>
        <v>3.0416666666666665</v>
      </c>
    </row>
    <row r="143" spans="1:10" x14ac:dyDescent="0.3">
      <c r="A143" t="s">
        <v>193</v>
      </c>
      <c r="B143" t="s">
        <v>1393</v>
      </c>
      <c r="C143" t="s">
        <v>1398</v>
      </c>
      <c r="D143" t="s">
        <v>1397</v>
      </c>
      <c r="E143" t="s">
        <v>1396</v>
      </c>
      <c r="F143" t="s">
        <v>1397</v>
      </c>
      <c r="G143" t="s">
        <v>1396</v>
      </c>
      <c r="H143" t="s">
        <v>1394</v>
      </c>
      <c r="I143" t="s">
        <v>1393</v>
      </c>
      <c r="J143" s="3">
        <f t="shared" si="2"/>
        <v>3.3020833333333335</v>
      </c>
    </row>
    <row r="144" spans="1:10" x14ac:dyDescent="0.3">
      <c r="A144" t="s">
        <v>194</v>
      </c>
      <c r="B144" t="s">
        <v>1394</v>
      </c>
      <c r="C144" t="s">
        <v>1393</v>
      </c>
      <c r="D144" t="s">
        <v>1395</v>
      </c>
      <c r="E144" t="s">
        <v>1397</v>
      </c>
      <c r="F144" t="s">
        <v>1397</v>
      </c>
      <c r="G144" t="s">
        <v>1398</v>
      </c>
      <c r="H144" t="s">
        <v>1397</v>
      </c>
      <c r="I144" t="s">
        <v>1394</v>
      </c>
      <c r="J144" s="3">
        <f t="shared" si="2"/>
        <v>3.3333333333333335</v>
      </c>
    </row>
    <row r="145" spans="1:10" x14ac:dyDescent="0.3">
      <c r="A145" t="s">
        <v>195</v>
      </c>
      <c r="B145" t="s">
        <v>1396</v>
      </c>
      <c r="C145" t="s">
        <v>1395</v>
      </c>
      <c r="D145" t="s">
        <v>1398</v>
      </c>
      <c r="E145" t="s">
        <v>1396</v>
      </c>
      <c r="F145" t="s">
        <v>1394</v>
      </c>
      <c r="G145" t="s">
        <v>1397</v>
      </c>
      <c r="H145" t="s">
        <v>1399</v>
      </c>
      <c r="I145" t="s">
        <v>1394</v>
      </c>
      <c r="J145" s="3">
        <f t="shared" si="2"/>
        <v>2.9583333333333335</v>
      </c>
    </row>
    <row r="146" spans="1:10" x14ac:dyDescent="0.3">
      <c r="A146" t="s">
        <v>196</v>
      </c>
      <c r="B146" t="s">
        <v>43</v>
      </c>
      <c r="C146" t="s">
        <v>1393</v>
      </c>
      <c r="D146" t="s">
        <v>1394</v>
      </c>
      <c r="E146" t="s">
        <v>1394</v>
      </c>
      <c r="F146" t="s">
        <v>1397</v>
      </c>
      <c r="G146" t="s">
        <v>1399</v>
      </c>
      <c r="H146" t="s">
        <v>1397</v>
      </c>
      <c r="I146" t="s">
        <v>1395</v>
      </c>
      <c r="J146" s="3">
        <f t="shared" si="2"/>
        <v>3.0208333333333335</v>
      </c>
    </row>
    <row r="147" spans="1:10" x14ac:dyDescent="0.3">
      <c r="A147" t="s">
        <v>197</v>
      </c>
      <c r="B147" t="s">
        <v>43</v>
      </c>
      <c r="C147" t="s">
        <v>1395</v>
      </c>
      <c r="D147" t="s">
        <v>1394</v>
      </c>
      <c r="E147" t="s">
        <v>43</v>
      </c>
      <c r="F147" t="s">
        <v>1397</v>
      </c>
      <c r="G147" t="s">
        <v>1397</v>
      </c>
      <c r="H147" t="s">
        <v>1397</v>
      </c>
      <c r="I147" t="s">
        <v>1400</v>
      </c>
      <c r="J147" s="3">
        <f t="shared" si="2"/>
        <v>2.28125</v>
      </c>
    </row>
    <row r="148" spans="1:10" x14ac:dyDescent="0.3">
      <c r="A148" t="s">
        <v>198</v>
      </c>
      <c r="B148" t="s">
        <v>1396</v>
      </c>
      <c r="C148" t="s">
        <v>1398</v>
      </c>
      <c r="D148" t="s">
        <v>1397</v>
      </c>
      <c r="E148" t="s">
        <v>43</v>
      </c>
      <c r="F148" t="s">
        <v>1395</v>
      </c>
      <c r="G148" t="s">
        <v>1397</v>
      </c>
      <c r="H148" t="s">
        <v>1396</v>
      </c>
      <c r="I148" t="s">
        <v>1395</v>
      </c>
      <c r="J148" s="3">
        <f t="shared" si="2"/>
        <v>2.875</v>
      </c>
    </row>
    <row r="149" spans="1:10" x14ac:dyDescent="0.3">
      <c r="A149" t="s">
        <v>199</v>
      </c>
      <c r="B149" t="s">
        <v>1394</v>
      </c>
      <c r="C149" t="s">
        <v>1396</v>
      </c>
      <c r="D149" t="s">
        <v>1393</v>
      </c>
      <c r="E149" t="s">
        <v>43</v>
      </c>
      <c r="F149" t="s">
        <v>1393</v>
      </c>
      <c r="G149" t="s">
        <v>1393</v>
      </c>
      <c r="H149" t="s">
        <v>1393</v>
      </c>
      <c r="I149" t="s">
        <v>43</v>
      </c>
      <c r="J149" s="3">
        <f t="shared" si="2"/>
        <v>3.2083333333333335</v>
      </c>
    </row>
    <row r="150" spans="1:10" x14ac:dyDescent="0.3">
      <c r="A150" t="s">
        <v>200</v>
      </c>
      <c r="B150" t="s">
        <v>1395</v>
      </c>
      <c r="C150" t="s">
        <v>1393</v>
      </c>
      <c r="D150" t="s">
        <v>1393</v>
      </c>
      <c r="E150" t="s">
        <v>1393</v>
      </c>
      <c r="F150" t="s">
        <v>1397</v>
      </c>
      <c r="G150" t="s">
        <v>1397</v>
      </c>
      <c r="H150" t="s">
        <v>1397</v>
      </c>
      <c r="I150" t="s">
        <v>1397</v>
      </c>
      <c r="J150" s="3">
        <f t="shared" si="2"/>
        <v>3.34375</v>
      </c>
    </row>
    <row r="151" spans="1:10" x14ac:dyDescent="0.3">
      <c r="A151" t="s">
        <v>201</v>
      </c>
      <c r="B151" t="s">
        <v>1393</v>
      </c>
      <c r="C151" t="s">
        <v>1396</v>
      </c>
      <c r="D151" t="s">
        <v>1395</v>
      </c>
      <c r="E151" t="s">
        <v>1398</v>
      </c>
      <c r="F151" t="s">
        <v>1398</v>
      </c>
      <c r="G151" t="s">
        <v>43</v>
      </c>
      <c r="H151" t="s">
        <v>1393</v>
      </c>
      <c r="I151" t="s">
        <v>43</v>
      </c>
      <c r="J151" s="3">
        <f t="shared" si="2"/>
        <v>2.9791666666666665</v>
      </c>
    </row>
    <row r="152" spans="1:10" x14ac:dyDescent="0.3">
      <c r="A152" t="s">
        <v>202</v>
      </c>
      <c r="B152" t="s">
        <v>43</v>
      </c>
      <c r="C152" t="s">
        <v>1399</v>
      </c>
      <c r="D152" t="s">
        <v>1393</v>
      </c>
      <c r="E152" t="s">
        <v>1394</v>
      </c>
      <c r="F152" t="s">
        <v>1393</v>
      </c>
      <c r="G152" t="s">
        <v>1393</v>
      </c>
      <c r="H152" t="s">
        <v>1398</v>
      </c>
      <c r="I152" t="s">
        <v>1398</v>
      </c>
      <c r="J152" s="3">
        <f t="shared" si="2"/>
        <v>2.6979166666666665</v>
      </c>
    </row>
    <row r="153" spans="1:10" x14ac:dyDescent="0.3">
      <c r="A153" t="s">
        <v>203</v>
      </c>
      <c r="B153" t="s">
        <v>1397</v>
      </c>
      <c r="C153" t="s">
        <v>1398</v>
      </c>
      <c r="D153" t="s">
        <v>1397</v>
      </c>
      <c r="E153" t="s">
        <v>1394</v>
      </c>
      <c r="F153" t="s">
        <v>1393</v>
      </c>
      <c r="G153" t="s">
        <v>1393</v>
      </c>
      <c r="H153" t="s">
        <v>1398</v>
      </c>
      <c r="I153" t="s">
        <v>1394</v>
      </c>
      <c r="J153" s="3">
        <f t="shared" si="2"/>
        <v>3.1770833333333335</v>
      </c>
    </row>
    <row r="154" spans="1:10" x14ac:dyDescent="0.3">
      <c r="A154" t="s">
        <v>204</v>
      </c>
      <c r="B154" t="s">
        <v>1395</v>
      </c>
      <c r="C154" t="s">
        <v>1395</v>
      </c>
      <c r="D154" t="s">
        <v>1393</v>
      </c>
      <c r="E154" t="s">
        <v>1394</v>
      </c>
      <c r="F154" t="s">
        <v>1394</v>
      </c>
      <c r="G154" t="s">
        <v>1397</v>
      </c>
      <c r="H154" t="s">
        <v>1395</v>
      </c>
      <c r="I154" t="s">
        <v>1395</v>
      </c>
      <c r="J154" s="3">
        <f t="shared" si="2"/>
        <v>3.53125</v>
      </c>
    </row>
    <row r="155" spans="1:10" x14ac:dyDescent="0.3">
      <c r="A155" t="s">
        <v>205</v>
      </c>
      <c r="B155" t="s">
        <v>1399</v>
      </c>
      <c r="C155" t="s">
        <v>1396</v>
      </c>
      <c r="D155" t="s">
        <v>43</v>
      </c>
      <c r="E155" t="s">
        <v>1396</v>
      </c>
      <c r="F155" t="s">
        <v>1393</v>
      </c>
      <c r="G155" t="s">
        <v>1395</v>
      </c>
      <c r="H155" t="s">
        <v>1395</v>
      </c>
      <c r="I155" t="s">
        <v>1398</v>
      </c>
      <c r="J155" s="3">
        <f t="shared" si="2"/>
        <v>2.6875</v>
      </c>
    </row>
    <row r="156" spans="1:10" x14ac:dyDescent="0.3">
      <c r="A156" t="s">
        <v>206</v>
      </c>
      <c r="B156" t="s">
        <v>1395</v>
      </c>
      <c r="C156" t="s">
        <v>1397</v>
      </c>
      <c r="D156" t="s">
        <v>1396</v>
      </c>
      <c r="E156" t="s">
        <v>1394</v>
      </c>
      <c r="F156" t="s">
        <v>43</v>
      </c>
      <c r="G156" t="s">
        <v>1393</v>
      </c>
      <c r="H156" t="s">
        <v>1398</v>
      </c>
      <c r="I156" t="s">
        <v>1394</v>
      </c>
      <c r="J156" s="3">
        <f t="shared" si="2"/>
        <v>3.1979166666666665</v>
      </c>
    </row>
    <row r="157" spans="1:10" x14ac:dyDescent="0.3">
      <c r="A157" t="s">
        <v>207</v>
      </c>
      <c r="B157" t="s">
        <v>1393</v>
      </c>
      <c r="C157" t="s">
        <v>1394</v>
      </c>
      <c r="D157" t="s">
        <v>1398</v>
      </c>
      <c r="E157" t="s">
        <v>1400</v>
      </c>
      <c r="F157" t="s">
        <v>1393</v>
      </c>
      <c r="G157" t="s">
        <v>1396</v>
      </c>
      <c r="H157" t="s">
        <v>1396</v>
      </c>
      <c r="I157" t="s">
        <v>1398</v>
      </c>
      <c r="J157" s="3">
        <f t="shared" si="2"/>
        <v>2.875</v>
      </c>
    </row>
    <row r="158" spans="1:10" x14ac:dyDescent="0.3">
      <c r="A158" t="s">
        <v>208</v>
      </c>
      <c r="B158" t="s">
        <v>1394</v>
      </c>
      <c r="C158" t="s">
        <v>1396</v>
      </c>
      <c r="D158" t="s">
        <v>1395</v>
      </c>
      <c r="E158" t="s">
        <v>1398</v>
      </c>
      <c r="F158" t="s">
        <v>1394</v>
      </c>
      <c r="G158" t="s">
        <v>1399</v>
      </c>
      <c r="H158" t="s">
        <v>1394</v>
      </c>
      <c r="I158" t="s">
        <v>1394</v>
      </c>
      <c r="J158" s="3">
        <f t="shared" si="2"/>
        <v>3.21875</v>
      </c>
    </row>
    <row r="159" spans="1:10" x14ac:dyDescent="0.3">
      <c r="A159" t="s">
        <v>209</v>
      </c>
      <c r="B159" t="s">
        <v>1397</v>
      </c>
      <c r="C159" t="s">
        <v>1396</v>
      </c>
      <c r="D159" t="s">
        <v>1393</v>
      </c>
      <c r="E159" t="s">
        <v>1397</v>
      </c>
      <c r="F159" t="s">
        <v>1393</v>
      </c>
      <c r="G159" t="s">
        <v>1398</v>
      </c>
      <c r="H159" t="s">
        <v>1397</v>
      </c>
      <c r="I159" t="s">
        <v>1398</v>
      </c>
      <c r="J159" s="3">
        <f t="shared" si="2"/>
        <v>2.9375</v>
      </c>
    </row>
    <row r="160" spans="1:10" x14ac:dyDescent="0.3">
      <c r="A160" t="s">
        <v>210</v>
      </c>
      <c r="B160" t="s">
        <v>1396</v>
      </c>
      <c r="C160" t="s">
        <v>1395</v>
      </c>
      <c r="D160" t="s">
        <v>1395</v>
      </c>
      <c r="E160" t="s">
        <v>1395</v>
      </c>
      <c r="F160" t="s">
        <v>43</v>
      </c>
      <c r="G160" t="s">
        <v>1393</v>
      </c>
      <c r="H160" t="s">
        <v>43</v>
      </c>
      <c r="I160" t="s">
        <v>1393</v>
      </c>
      <c r="J160" s="3">
        <f t="shared" si="2"/>
        <v>3.2291666666666665</v>
      </c>
    </row>
    <row r="161" spans="1:10" x14ac:dyDescent="0.3">
      <c r="A161" t="s">
        <v>211</v>
      </c>
      <c r="B161" t="s">
        <v>1394</v>
      </c>
      <c r="C161" t="s">
        <v>1394</v>
      </c>
      <c r="D161" t="s">
        <v>43</v>
      </c>
      <c r="E161" t="s">
        <v>1396</v>
      </c>
      <c r="F161" t="s">
        <v>1395</v>
      </c>
      <c r="G161" t="s">
        <v>43</v>
      </c>
      <c r="H161" t="s">
        <v>1394</v>
      </c>
      <c r="I161" t="s">
        <v>1396</v>
      </c>
      <c r="J161" s="3">
        <f t="shared" si="2"/>
        <v>3.21875</v>
      </c>
    </row>
    <row r="162" spans="1:10" x14ac:dyDescent="0.3">
      <c r="A162" t="s">
        <v>212</v>
      </c>
      <c r="B162" t="s">
        <v>1396</v>
      </c>
      <c r="C162" t="s">
        <v>1398</v>
      </c>
      <c r="D162" t="s">
        <v>1398</v>
      </c>
      <c r="E162" t="s">
        <v>1397</v>
      </c>
      <c r="F162" t="s">
        <v>1395</v>
      </c>
      <c r="G162" t="s">
        <v>1395</v>
      </c>
      <c r="H162" t="s">
        <v>1394</v>
      </c>
      <c r="I162" t="s">
        <v>1398</v>
      </c>
      <c r="J162" s="3">
        <f t="shared" si="2"/>
        <v>2.9375</v>
      </c>
    </row>
    <row r="163" spans="1:10" x14ac:dyDescent="0.3">
      <c r="A163" t="s">
        <v>213</v>
      </c>
      <c r="B163" t="s">
        <v>1397</v>
      </c>
      <c r="C163" t="s">
        <v>1397</v>
      </c>
      <c r="D163" t="s">
        <v>1394</v>
      </c>
      <c r="E163" t="s">
        <v>1395</v>
      </c>
      <c r="F163" t="s">
        <v>1398</v>
      </c>
      <c r="G163" t="s">
        <v>1396</v>
      </c>
      <c r="H163" t="s">
        <v>1393</v>
      </c>
      <c r="I163" t="s">
        <v>1396</v>
      </c>
      <c r="J163" s="3">
        <f t="shared" si="2"/>
        <v>3.125</v>
      </c>
    </row>
    <row r="164" spans="1:10" x14ac:dyDescent="0.3">
      <c r="A164" t="s">
        <v>214</v>
      </c>
      <c r="B164" t="s">
        <v>43</v>
      </c>
      <c r="C164" t="s">
        <v>1394</v>
      </c>
      <c r="D164" t="s">
        <v>1394</v>
      </c>
      <c r="E164" t="s">
        <v>1395</v>
      </c>
      <c r="F164" t="s">
        <v>1397</v>
      </c>
      <c r="G164" t="s">
        <v>1398</v>
      </c>
      <c r="H164" t="s">
        <v>1394</v>
      </c>
      <c r="I164" t="s">
        <v>1394</v>
      </c>
      <c r="J164" s="3">
        <f t="shared" si="2"/>
        <v>3.2395833333333335</v>
      </c>
    </row>
    <row r="165" spans="1:10" x14ac:dyDescent="0.3">
      <c r="A165" t="s">
        <v>215</v>
      </c>
      <c r="B165" t="s">
        <v>1394</v>
      </c>
      <c r="C165" t="s">
        <v>1395</v>
      </c>
      <c r="D165" t="s">
        <v>1396</v>
      </c>
      <c r="E165" t="s">
        <v>1394</v>
      </c>
      <c r="F165" t="s">
        <v>1395</v>
      </c>
      <c r="G165" t="s">
        <v>1394</v>
      </c>
      <c r="H165" t="s">
        <v>1400</v>
      </c>
      <c r="I165" t="s">
        <v>1397</v>
      </c>
      <c r="J165" s="3">
        <f t="shared" si="2"/>
        <v>2.9895833333333335</v>
      </c>
    </row>
    <row r="166" spans="1:10" x14ac:dyDescent="0.3">
      <c r="A166" t="s">
        <v>216</v>
      </c>
      <c r="B166" t="s">
        <v>1393</v>
      </c>
      <c r="C166" t="s">
        <v>1399</v>
      </c>
      <c r="D166" t="s">
        <v>1393</v>
      </c>
      <c r="E166" t="s">
        <v>1395</v>
      </c>
      <c r="F166" t="s">
        <v>1400</v>
      </c>
      <c r="G166" t="s">
        <v>1398</v>
      </c>
      <c r="H166" t="s">
        <v>1397</v>
      </c>
      <c r="I166" t="s">
        <v>1395</v>
      </c>
      <c r="J166" s="3">
        <f t="shared" si="2"/>
        <v>2.7395833333333335</v>
      </c>
    </row>
    <row r="167" spans="1:10" x14ac:dyDescent="0.3">
      <c r="A167" t="s">
        <v>217</v>
      </c>
      <c r="B167" t="s">
        <v>1394</v>
      </c>
      <c r="C167" t="s">
        <v>1397</v>
      </c>
      <c r="D167" t="s">
        <v>1393</v>
      </c>
      <c r="E167" t="s">
        <v>1394</v>
      </c>
      <c r="F167" t="s">
        <v>1395</v>
      </c>
      <c r="G167" t="s">
        <v>1393</v>
      </c>
      <c r="H167" t="s">
        <v>1395</v>
      </c>
      <c r="I167" t="s">
        <v>1398</v>
      </c>
      <c r="J167" s="3">
        <f t="shared" si="2"/>
        <v>3.3645833333333335</v>
      </c>
    </row>
    <row r="168" spans="1:10" x14ac:dyDescent="0.3">
      <c r="A168" t="s">
        <v>218</v>
      </c>
      <c r="B168" t="s">
        <v>1397</v>
      </c>
      <c r="C168" t="s">
        <v>1396</v>
      </c>
      <c r="D168" t="s">
        <v>1397</v>
      </c>
      <c r="E168" t="s">
        <v>1396</v>
      </c>
      <c r="F168" t="s">
        <v>1393</v>
      </c>
      <c r="G168" t="s">
        <v>1396</v>
      </c>
      <c r="H168" t="s">
        <v>1395</v>
      </c>
      <c r="I168" t="s">
        <v>1397</v>
      </c>
      <c r="J168" s="3">
        <f t="shared" si="2"/>
        <v>3.0416666666666665</v>
      </c>
    </row>
    <row r="169" spans="1:10" x14ac:dyDescent="0.3">
      <c r="A169" t="s">
        <v>219</v>
      </c>
      <c r="B169" t="s">
        <v>43</v>
      </c>
      <c r="C169" t="s">
        <v>1395</v>
      </c>
      <c r="D169" t="s">
        <v>1396</v>
      </c>
      <c r="E169" t="s">
        <v>1397</v>
      </c>
      <c r="F169" t="s">
        <v>1395</v>
      </c>
      <c r="G169" t="s">
        <v>1394</v>
      </c>
      <c r="H169" t="s">
        <v>1397</v>
      </c>
      <c r="I169" t="s">
        <v>43</v>
      </c>
      <c r="J169" s="3">
        <f t="shared" si="2"/>
        <v>2.7916666666666665</v>
      </c>
    </row>
    <row r="170" spans="1:10" x14ac:dyDescent="0.3">
      <c r="A170" t="s">
        <v>220</v>
      </c>
      <c r="B170" t="s">
        <v>1398</v>
      </c>
      <c r="C170" t="s">
        <v>1397</v>
      </c>
      <c r="D170" t="s">
        <v>43</v>
      </c>
      <c r="E170" t="s">
        <v>1397</v>
      </c>
      <c r="F170" t="s">
        <v>1397</v>
      </c>
      <c r="G170" t="s">
        <v>1396</v>
      </c>
      <c r="H170" t="s">
        <v>1395</v>
      </c>
      <c r="I170" t="s">
        <v>1396</v>
      </c>
      <c r="J170" s="3">
        <f t="shared" si="2"/>
        <v>2.8020833333333335</v>
      </c>
    </row>
    <row r="171" spans="1:10" x14ac:dyDescent="0.3">
      <c r="A171" t="s">
        <v>221</v>
      </c>
      <c r="B171" t="s">
        <v>1393</v>
      </c>
      <c r="C171" t="s">
        <v>1395</v>
      </c>
      <c r="D171" t="s">
        <v>1398</v>
      </c>
      <c r="E171" t="s">
        <v>1397</v>
      </c>
      <c r="F171" t="s">
        <v>1396</v>
      </c>
      <c r="G171" t="s">
        <v>1394</v>
      </c>
      <c r="H171" t="s">
        <v>1395</v>
      </c>
      <c r="I171" t="s">
        <v>1396</v>
      </c>
      <c r="J171" s="3">
        <f t="shared" si="2"/>
        <v>3.3020833333333335</v>
      </c>
    </row>
    <row r="172" spans="1:10" x14ac:dyDescent="0.3">
      <c r="A172" t="s">
        <v>222</v>
      </c>
      <c r="B172" t="s">
        <v>1396</v>
      </c>
      <c r="C172" t="s">
        <v>1395</v>
      </c>
      <c r="D172" t="s">
        <v>1397</v>
      </c>
      <c r="E172" t="s">
        <v>1399</v>
      </c>
      <c r="F172" t="s">
        <v>1394</v>
      </c>
      <c r="G172" t="s">
        <v>1397</v>
      </c>
      <c r="H172" t="s">
        <v>1398</v>
      </c>
      <c r="I172" t="s">
        <v>1395</v>
      </c>
      <c r="J172" s="3">
        <f t="shared" si="2"/>
        <v>2.875</v>
      </c>
    </row>
    <row r="173" spans="1:10" x14ac:dyDescent="0.3">
      <c r="A173" t="s">
        <v>223</v>
      </c>
      <c r="B173" t="s">
        <v>1396</v>
      </c>
      <c r="C173" t="s">
        <v>1400</v>
      </c>
      <c r="D173" t="s">
        <v>1393</v>
      </c>
      <c r="E173" t="s">
        <v>1396</v>
      </c>
      <c r="F173" t="s">
        <v>1394</v>
      </c>
      <c r="G173" t="s">
        <v>1398</v>
      </c>
      <c r="H173" t="s">
        <v>1399</v>
      </c>
      <c r="I173" t="s">
        <v>1396</v>
      </c>
      <c r="J173" s="3">
        <f t="shared" si="2"/>
        <v>2.3541666666666665</v>
      </c>
    </row>
    <row r="174" spans="1:10" x14ac:dyDescent="0.3">
      <c r="A174" t="s">
        <v>224</v>
      </c>
      <c r="B174" t="s">
        <v>1393</v>
      </c>
      <c r="C174" t="s">
        <v>1396</v>
      </c>
      <c r="D174" t="s">
        <v>1396</v>
      </c>
      <c r="E174" t="s">
        <v>1397</v>
      </c>
      <c r="F174" t="s">
        <v>1396</v>
      </c>
      <c r="G174" t="s">
        <v>1397</v>
      </c>
      <c r="H174" t="s">
        <v>1398</v>
      </c>
      <c r="I174" t="s">
        <v>1396</v>
      </c>
      <c r="J174" s="3">
        <f t="shared" si="2"/>
        <v>3.0520833333333335</v>
      </c>
    </row>
    <row r="175" spans="1:10" x14ac:dyDescent="0.3">
      <c r="A175" t="s">
        <v>225</v>
      </c>
      <c r="B175" t="s">
        <v>1395</v>
      </c>
      <c r="C175" t="s">
        <v>1399</v>
      </c>
      <c r="D175" t="s">
        <v>1394</v>
      </c>
      <c r="E175" t="s">
        <v>1397</v>
      </c>
      <c r="F175" t="s">
        <v>1395</v>
      </c>
      <c r="G175" t="s">
        <v>1398</v>
      </c>
      <c r="H175" t="s">
        <v>1393</v>
      </c>
      <c r="I175" t="s">
        <v>1400</v>
      </c>
      <c r="J175" s="3">
        <f t="shared" si="2"/>
        <v>2.40625</v>
      </c>
    </row>
    <row r="176" spans="1:10" x14ac:dyDescent="0.3">
      <c r="A176" t="s">
        <v>226</v>
      </c>
      <c r="B176" t="s">
        <v>1395</v>
      </c>
      <c r="C176" t="s">
        <v>1393</v>
      </c>
      <c r="D176" t="s">
        <v>1394</v>
      </c>
      <c r="E176" t="s">
        <v>1395</v>
      </c>
      <c r="F176" t="s">
        <v>1393</v>
      </c>
      <c r="G176" t="s">
        <v>1395</v>
      </c>
      <c r="H176" t="s">
        <v>1395</v>
      </c>
      <c r="I176" t="s">
        <v>1397</v>
      </c>
      <c r="J176" s="3">
        <f t="shared" si="2"/>
        <v>3.5208333333333335</v>
      </c>
    </row>
    <row r="177" spans="1:10" x14ac:dyDescent="0.3">
      <c r="A177" t="s">
        <v>227</v>
      </c>
      <c r="B177" t="s">
        <v>1395</v>
      </c>
      <c r="C177" t="s">
        <v>1394</v>
      </c>
      <c r="D177" t="s">
        <v>1394</v>
      </c>
      <c r="E177" t="s">
        <v>1397</v>
      </c>
      <c r="F177" t="s">
        <v>1399</v>
      </c>
      <c r="G177" t="s">
        <v>1396</v>
      </c>
      <c r="H177" t="s">
        <v>1394</v>
      </c>
      <c r="I177" t="s">
        <v>1398</v>
      </c>
      <c r="J177" s="3">
        <f t="shared" si="2"/>
        <v>3.0833333333333335</v>
      </c>
    </row>
    <row r="178" spans="1:10" x14ac:dyDescent="0.3">
      <c r="A178" t="s">
        <v>228</v>
      </c>
      <c r="B178" t="s">
        <v>1395</v>
      </c>
      <c r="C178" t="s">
        <v>1394</v>
      </c>
      <c r="D178" t="s">
        <v>1393</v>
      </c>
      <c r="E178" t="s">
        <v>1398</v>
      </c>
      <c r="F178" t="s">
        <v>1398</v>
      </c>
      <c r="G178" t="s">
        <v>1397</v>
      </c>
      <c r="H178" t="s">
        <v>1396</v>
      </c>
      <c r="I178" t="s">
        <v>1396</v>
      </c>
      <c r="J178" s="3">
        <f t="shared" si="2"/>
        <v>3.1666666666666665</v>
      </c>
    </row>
    <row r="179" spans="1:10" x14ac:dyDescent="0.3">
      <c r="A179" t="s">
        <v>229</v>
      </c>
      <c r="B179" t="s">
        <v>1394</v>
      </c>
      <c r="C179" t="s">
        <v>1399</v>
      </c>
      <c r="D179" t="s">
        <v>1395</v>
      </c>
      <c r="E179" t="s">
        <v>1397</v>
      </c>
      <c r="F179" t="s">
        <v>1398</v>
      </c>
      <c r="G179" t="s">
        <v>1398</v>
      </c>
      <c r="H179" t="s">
        <v>1396</v>
      </c>
      <c r="I179" t="s">
        <v>1394</v>
      </c>
      <c r="J179" s="3">
        <f t="shared" si="2"/>
        <v>2.84375</v>
      </c>
    </row>
    <row r="180" spans="1:10" x14ac:dyDescent="0.3">
      <c r="A180" t="s">
        <v>230</v>
      </c>
      <c r="B180" t="s">
        <v>1396</v>
      </c>
      <c r="C180" t="s">
        <v>1393</v>
      </c>
      <c r="D180" t="s">
        <v>1398</v>
      </c>
      <c r="E180" t="s">
        <v>1395</v>
      </c>
      <c r="F180" t="s">
        <v>43</v>
      </c>
      <c r="G180" t="s">
        <v>1394</v>
      </c>
      <c r="H180" t="s">
        <v>1395</v>
      </c>
      <c r="I180" t="s">
        <v>1394</v>
      </c>
      <c r="J180" s="3">
        <f t="shared" si="2"/>
        <v>3.3541666666666665</v>
      </c>
    </row>
    <row r="181" spans="1:10" x14ac:dyDescent="0.3">
      <c r="A181" t="s">
        <v>231</v>
      </c>
      <c r="B181" t="s">
        <v>1395</v>
      </c>
      <c r="C181" t="s">
        <v>1394</v>
      </c>
      <c r="D181" t="s">
        <v>1393</v>
      </c>
      <c r="E181" t="s">
        <v>1397</v>
      </c>
      <c r="F181" t="s">
        <v>1394</v>
      </c>
      <c r="G181" t="s">
        <v>1394</v>
      </c>
      <c r="H181" t="s">
        <v>1395</v>
      </c>
      <c r="I181" t="s">
        <v>1396</v>
      </c>
      <c r="J181" s="3">
        <f t="shared" si="2"/>
        <v>3.4479166666666665</v>
      </c>
    </row>
    <row r="182" spans="1:10" x14ac:dyDescent="0.3">
      <c r="A182" t="s">
        <v>232</v>
      </c>
      <c r="B182" t="s">
        <v>1395</v>
      </c>
      <c r="C182" t="s">
        <v>1397</v>
      </c>
      <c r="D182" t="s">
        <v>1397</v>
      </c>
      <c r="E182" t="s">
        <v>1395</v>
      </c>
      <c r="F182" t="s">
        <v>43</v>
      </c>
      <c r="G182" t="s">
        <v>43</v>
      </c>
      <c r="H182" t="s">
        <v>1393</v>
      </c>
      <c r="I182" t="s">
        <v>1398</v>
      </c>
      <c r="J182" s="3">
        <f t="shared" si="2"/>
        <v>2.9583333333333335</v>
      </c>
    </row>
    <row r="183" spans="1:10" x14ac:dyDescent="0.3">
      <c r="A183" t="s">
        <v>233</v>
      </c>
      <c r="B183" t="s">
        <v>43</v>
      </c>
      <c r="C183" t="s">
        <v>1398</v>
      </c>
      <c r="D183" t="s">
        <v>1393</v>
      </c>
      <c r="E183" t="s">
        <v>1398</v>
      </c>
      <c r="F183" t="s">
        <v>1397</v>
      </c>
      <c r="G183" t="s">
        <v>1393</v>
      </c>
      <c r="H183" t="s">
        <v>1393</v>
      </c>
      <c r="I183" t="s">
        <v>1399</v>
      </c>
      <c r="J183" s="3">
        <f t="shared" si="2"/>
        <v>2.625</v>
      </c>
    </row>
    <row r="184" spans="1:10" x14ac:dyDescent="0.3">
      <c r="A184" t="s">
        <v>234</v>
      </c>
      <c r="B184" t="s">
        <v>1397</v>
      </c>
      <c r="C184" t="s">
        <v>1394</v>
      </c>
      <c r="D184" t="s">
        <v>1393</v>
      </c>
      <c r="E184" t="s">
        <v>1393</v>
      </c>
      <c r="F184" t="s">
        <v>1394</v>
      </c>
      <c r="G184" t="s">
        <v>1398</v>
      </c>
      <c r="H184" t="s">
        <v>1395</v>
      </c>
      <c r="I184" t="s">
        <v>1394</v>
      </c>
      <c r="J184" s="3">
        <f t="shared" si="2"/>
        <v>3.5</v>
      </c>
    </row>
    <row r="185" spans="1:10" x14ac:dyDescent="0.3">
      <c r="A185" t="s">
        <v>235</v>
      </c>
      <c r="B185" t="s">
        <v>43</v>
      </c>
      <c r="C185" t="s">
        <v>1398</v>
      </c>
      <c r="D185" t="s">
        <v>1394</v>
      </c>
      <c r="E185" t="s">
        <v>43</v>
      </c>
      <c r="F185" t="s">
        <v>1396</v>
      </c>
      <c r="G185" t="s">
        <v>1398</v>
      </c>
      <c r="H185" t="s">
        <v>1397</v>
      </c>
      <c r="I185" t="s">
        <v>43</v>
      </c>
      <c r="J185" s="3">
        <f t="shared" si="2"/>
        <v>2.4479166666666665</v>
      </c>
    </row>
    <row r="186" spans="1:10" x14ac:dyDescent="0.3">
      <c r="A186" t="s">
        <v>236</v>
      </c>
      <c r="B186" t="s">
        <v>1398</v>
      </c>
      <c r="C186" t="s">
        <v>1398</v>
      </c>
      <c r="D186" t="s">
        <v>1394</v>
      </c>
      <c r="E186" t="s">
        <v>1397</v>
      </c>
      <c r="F186" t="s">
        <v>1396</v>
      </c>
      <c r="G186" t="s">
        <v>1397</v>
      </c>
      <c r="H186" t="s">
        <v>1395</v>
      </c>
      <c r="I186" t="s">
        <v>43</v>
      </c>
      <c r="J186" s="3">
        <f t="shared" si="2"/>
        <v>2.7395833333333335</v>
      </c>
    </row>
    <row r="187" spans="1:10" x14ac:dyDescent="0.3">
      <c r="A187" t="s">
        <v>237</v>
      </c>
      <c r="B187" t="s">
        <v>1396</v>
      </c>
      <c r="C187" t="s">
        <v>1394</v>
      </c>
      <c r="D187" t="s">
        <v>1394</v>
      </c>
      <c r="E187" t="s">
        <v>1393</v>
      </c>
      <c r="F187" t="s">
        <v>1396</v>
      </c>
      <c r="G187" t="s">
        <v>1393</v>
      </c>
      <c r="H187" t="s">
        <v>1396</v>
      </c>
      <c r="I187" t="s">
        <v>1393</v>
      </c>
      <c r="J187" s="3">
        <f t="shared" si="2"/>
        <v>3.5625</v>
      </c>
    </row>
    <row r="188" spans="1:10" x14ac:dyDescent="0.3">
      <c r="A188" t="s">
        <v>238</v>
      </c>
      <c r="B188" t="s">
        <v>1396</v>
      </c>
      <c r="C188" t="s">
        <v>1396</v>
      </c>
      <c r="D188" t="s">
        <v>1396</v>
      </c>
      <c r="E188" t="s">
        <v>43</v>
      </c>
      <c r="F188" t="s">
        <v>1393</v>
      </c>
      <c r="G188" t="s">
        <v>1398</v>
      </c>
      <c r="H188" t="s">
        <v>1396</v>
      </c>
      <c r="I188" t="s">
        <v>1396</v>
      </c>
      <c r="J188" s="3">
        <f t="shared" si="2"/>
        <v>2.9166666666666665</v>
      </c>
    </row>
    <row r="189" spans="1:10" x14ac:dyDescent="0.3">
      <c r="A189" t="s">
        <v>239</v>
      </c>
      <c r="B189" t="s">
        <v>1397</v>
      </c>
      <c r="C189" t="s">
        <v>1398</v>
      </c>
      <c r="D189" t="s">
        <v>1395</v>
      </c>
      <c r="E189" t="s">
        <v>1395</v>
      </c>
      <c r="F189" t="s">
        <v>1399</v>
      </c>
      <c r="G189" t="s">
        <v>1393</v>
      </c>
      <c r="H189" t="s">
        <v>1397</v>
      </c>
      <c r="I189" t="s">
        <v>1397</v>
      </c>
      <c r="J189" s="3">
        <f t="shared" si="2"/>
        <v>2.8229166666666665</v>
      </c>
    </row>
    <row r="190" spans="1:10" x14ac:dyDescent="0.3">
      <c r="A190" t="s">
        <v>240</v>
      </c>
      <c r="B190" t="s">
        <v>1393</v>
      </c>
      <c r="C190" t="s">
        <v>1396</v>
      </c>
      <c r="D190" t="s">
        <v>1397</v>
      </c>
      <c r="E190" t="s">
        <v>1399</v>
      </c>
      <c r="F190" t="s">
        <v>1395</v>
      </c>
      <c r="G190" t="s">
        <v>1400</v>
      </c>
      <c r="H190" t="s">
        <v>1396</v>
      </c>
      <c r="I190" t="s">
        <v>1396</v>
      </c>
      <c r="J190" s="3">
        <f t="shared" si="2"/>
        <v>2.6875</v>
      </c>
    </row>
    <row r="191" spans="1:10" x14ac:dyDescent="0.3">
      <c r="A191" t="s">
        <v>241</v>
      </c>
      <c r="B191" t="s">
        <v>43</v>
      </c>
      <c r="C191" t="s">
        <v>1393</v>
      </c>
      <c r="D191" t="s">
        <v>1397</v>
      </c>
      <c r="E191" t="s">
        <v>1396</v>
      </c>
      <c r="F191" t="s">
        <v>1395</v>
      </c>
      <c r="G191" t="s">
        <v>43</v>
      </c>
      <c r="H191" t="s">
        <v>1395</v>
      </c>
      <c r="I191" t="s">
        <v>1396</v>
      </c>
      <c r="J191" s="3">
        <f t="shared" si="2"/>
        <v>3</v>
      </c>
    </row>
    <row r="192" spans="1:10" x14ac:dyDescent="0.3">
      <c r="A192" t="s">
        <v>242</v>
      </c>
      <c r="B192" t="s">
        <v>1396</v>
      </c>
      <c r="C192" t="s">
        <v>1398</v>
      </c>
      <c r="D192" t="s">
        <v>1394</v>
      </c>
      <c r="E192" t="s">
        <v>1395</v>
      </c>
      <c r="F192" t="s">
        <v>1395</v>
      </c>
      <c r="G192" t="s">
        <v>1396</v>
      </c>
      <c r="H192" t="s">
        <v>1398</v>
      </c>
      <c r="I192" t="s">
        <v>1394</v>
      </c>
      <c r="J192" s="3">
        <f t="shared" si="2"/>
        <v>3.1458333333333335</v>
      </c>
    </row>
    <row r="193" spans="1:10" x14ac:dyDescent="0.3">
      <c r="A193" t="s">
        <v>243</v>
      </c>
      <c r="B193" t="s">
        <v>1398</v>
      </c>
      <c r="C193" t="s">
        <v>1395</v>
      </c>
      <c r="D193" t="s">
        <v>1396</v>
      </c>
      <c r="E193" t="s">
        <v>1394</v>
      </c>
      <c r="F193" t="s">
        <v>1396</v>
      </c>
      <c r="G193" t="s">
        <v>1400</v>
      </c>
      <c r="H193" t="s">
        <v>1397</v>
      </c>
      <c r="I193" t="s">
        <v>1398</v>
      </c>
      <c r="J193" s="3">
        <f t="shared" si="2"/>
        <v>2.7291666666666665</v>
      </c>
    </row>
    <row r="194" spans="1:10" x14ac:dyDescent="0.3">
      <c r="A194" t="s">
        <v>244</v>
      </c>
      <c r="B194" t="s">
        <v>1395</v>
      </c>
      <c r="C194" t="s">
        <v>1395</v>
      </c>
      <c r="D194" t="s">
        <v>1394</v>
      </c>
      <c r="E194" t="s">
        <v>1396</v>
      </c>
      <c r="F194" t="s">
        <v>1397</v>
      </c>
      <c r="G194" t="s">
        <v>1398</v>
      </c>
      <c r="H194" t="s">
        <v>1393</v>
      </c>
      <c r="I194" t="s">
        <v>1397</v>
      </c>
      <c r="J194" s="3">
        <f t="shared" si="2"/>
        <v>3.25</v>
      </c>
    </row>
    <row r="195" spans="1:10" x14ac:dyDescent="0.3">
      <c r="A195" t="s">
        <v>245</v>
      </c>
      <c r="B195" t="s">
        <v>43</v>
      </c>
      <c r="C195" t="s">
        <v>1396</v>
      </c>
      <c r="D195" t="s">
        <v>1393</v>
      </c>
      <c r="E195" t="s">
        <v>1395</v>
      </c>
      <c r="F195" t="s">
        <v>1393</v>
      </c>
      <c r="G195" t="s">
        <v>1394</v>
      </c>
      <c r="H195" t="s">
        <v>43</v>
      </c>
      <c r="I195" t="s">
        <v>1396</v>
      </c>
      <c r="J195" s="3">
        <f t="shared" ref="J195:J258" si="3">(VLOOKUP(B195,$N$27:$O$36, 2,0)*4+VLOOKUP(C195,$N$27:$O$36, 2,0)*4+VLOOKUP(D195,$N$27:$O$36, 2,0)*2+VLOOKUP(E195,$N$27:$O$36, 2,0)*3+VLOOKUP(F195,$N$27:$O$36, 2,0)*2+VLOOKUP(G195,$N$27:$O$36, 2,0)*2+VLOOKUP(H195,$N$27:$O$36, 2,0)*3+VLOOKUP(I195,$N$27:$O$36, 2,0)*4)/24</f>
        <v>3</v>
      </c>
    </row>
    <row r="196" spans="1:10" x14ac:dyDescent="0.3">
      <c r="A196" t="s">
        <v>246</v>
      </c>
      <c r="B196" t="s">
        <v>1397</v>
      </c>
      <c r="C196" t="s">
        <v>1398</v>
      </c>
      <c r="D196" t="s">
        <v>43</v>
      </c>
      <c r="E196" t="s">
        <v>1396</v>
      </c>
      <c r="F196" t="s">
        <v>1396</v>
      </c>
      <c r="G196" t="s">
        <v>1396</v>
      </c>
      <c r="H196" t="s">
        <v>1397</v>
      </c>
      <c r="I196" t="s">
        <v>1396</v>
      </c>
      <c r="J196" s="3">
        <f t="shared" si="3"/>
        <v>2.7604166666666665</v>
      </c>
    </row>
    <row r="197" spans="1:10" x14ac:dyDescent="0.3">
      <c r="A197" t="s">
        <v>247</v>
      </c>
      <c r="B197" t="s">
        <v>1397</v>
      </c>
      <c r="C197" t="s">
        <v>1394</v>
      </c>
      <c r="D197" t="s">
        <v>1397</v>
      </c>
      <c r="E197" t="s">
        <v>1396</v>
      </c>
      <c r="F197" t="s">
        <v>1398</v>
      </c>
      <c r="G197" t="s">
        <v>1393</v>
      </c>
      <c r="H197" t="s">
        <v>1394</v>
      </c>
      <c r="I197" t="s">
        <v>1393</v>
      </c>
      <c r="J197" s="3">
        <f t="shared" si="3"/>
        <v>3.3645833333333335</v>
      </c>
    </row>
    <row r="198" spans="1:10" x14ac:dyDescent="0.3">
      <c r="A198" t="s">
        <v>248</v>
      </c>
      <c r="B198" t="s">
        <v>1398</v>
      </c>
      <c r="C198" t="s">
        <v>43</v>
      </c>
      <c r="D198" t="s">
        <v>1397</v>
      </c>
      <c r="E198" t="s">
        <v>1395</v>
      </c>
      <c r="F198" t="s">
        <v>1398</v>
      </c>
      <c r="G198" t="s">
        <v>1398</v>
      </c>
      <c r="H198" t="s">
        <v>1396</v>
      </c>
      <c r="I198" t="s">
        <v>1394</v>
      </c>
      <c r="J198" s="3">
        <f t="shared" si="3"/>
        <v>2.8333333333333335</v>
      </c>
    </row>
    <row r="199" spans="1:10" x14ac:dyDescent="0.3">
      <c r="A199" t="s">
        <v>249</v>
      </c>
      <c r="B199" t="s">
        <v>1395</v>
      </c>
      <c r="C199" t="s">
        <v>1395</v>
      </c>
      <c r="D199" t="s">
        <v>1395</v>
      </c>
      <c r="E199" t="s">
        <v>1395</v>
      </c>
      <c r="F199" t="s">
        <v>1397</v>
      </c>
      <c r="G199" t="s">
        <v>1399</v>
      </c>
      <c r="H199" t="s">
        <v>1393</v>
      </c>
      <c r="I199" t="s">
        <v>1396</v>
      </c>
      <c r="J199" s="3">
        <f t="shared" si="3"/>
        <v>3.2083333333333335</v>
      </c>
    </row>
    <row r="200" spans="1:10" x14ac:dyDescent="0.3">
      <c r="A200" t="s">
        <v>250</v>
      </c>
      <c r="B200" t="s">
        <v>1393</v>
      </c>
      <c r="C200" t="s">
        <v>1393</v>
      </c>
      <c r="D200" t="s">
        <v>1398</v>
      </c>
      <c r="E200" t="s">
        <v>1396</v>
      </c>
      <c r="F200" t="s">
        <v>43</v>
      </c>
      <c r="G200" t="s">
        <v>1395</v>
      </c>
      <c r="H200" t="s">
        <v>1393</v>
      </c>
      <c r="I200" t="s">
        <v>1395</v>
      </c>
      <c r="J200" s="3">
        <f t="shared" si="3"/>
        <v>3.4583333333333335</v>
      </c>
    </row>
    <row r="201" spans="1:10" x14ac:dyDescent="0.3">
      <c r="A201" t="s">
        <v>251</v>
      </c>
      <c r="B201" t="s">
        <v>1396</v>
      </c>
      <c r="C201" t="s">
        <v>1399</v>
      </c>
      <c r="D201" t="s">
        <v>1400</v>
      </c>
      <c r="E201" t="s">
        <v>1396</v>
      </c>
      <c r="F201" t="s">
        <v>1395</v>
      </c>
      <c r="G201" t="s">
        <v>1393</v>
      </c>
      <c r="H201" t="s">
        <v>1397</v>
      </c>
      <c r="I201" t="s">
        <v>1394</v>
      </c>
      <c r="J201" s="3">
        <f t="shared" si="3"/>
        <v>2.6354166666666665</v>
      </c>
    </row>
    <row r="202" spans="1:10" x14ac:dyDescent="0.3">
      <c r="A202" t="s">
        <v>252</v>
      </c>
      <c r="B202" t="s">
        <v>1394</v>
      </c>
      <c r="C202" t="s">
        <v>1393</v>
      </c>
      <c r="D202" t="s">
        <v>1393</v>
      </c>
      <c r="E202" t="s">
        <v>1397</v>
      </c>
      <c r="F202" t="s">
        <v>1393</v>
      </c>
      <c r="G202" t="s">
        <v>1399</v>
      </c>
      <c r="H202" t="s">
        <v>1393</v>
      </c>
      <c r="I202" t="s">
        <v>43</v>
      </c>
      <c r="J202" s="3">
        <f t="shared" si="3"/>
        <v>3.21875</v>
      </c>
    </row>
    <row r="203" spans="1:10" x14ac:dyDescent="0.3">
      <c r="A203" t="s">
        <v>253</v>
      </c>
      <c r="B203" t="s">
        <v>1393</v>
      </c>
      <c r="C203" t="s">
        <v>1393</v>
      </c>
      <c r="D203" t="s">
        <v>1397</v>
      </c>
      <c r="E203" t="s">
        <v>1394</v>
      </c>
      <c r="F203" t="s">
        <v>1397</v>
      </c>
      <c r="G203" t="s">
        <v>1394</v>
      </c>
      <c r="H203" t="s">
        <v>1393</v>
      </c>
      <c r="I203" t="s">
        <v>1398</v>
      </c>
      <c r="J203" s="3">
        <f t="shared" si="3"/>
        <v>3.4895833333333335</v>
      </c>
    </row>
    <row r="204" spans="1:10" x14ac:dyDescent="0.3">
      <c r="A204" t="s">
        <v>254</v>
      </c>
      <c r="B204" t="s">
        <v>1397</v>
      </c>
      <c r="C204" t="s">
        <v>43</v>
      </c>
      <c r="D204" t="s">
        <v>1397</v>
      </c>
      <c r="E204" t="s">
        <v>1393</v>
      </c>
      <c r="F204" t="s">
        <v>1396</v>
      </c>
      <c r="G204" t="s">
        <v>1397</v>
      </c>
      <c r="H204" t="s">
        <v>1396</v>
      </c>
      <c r="I204" t="s">
        <v>1399</v>
      </c>
      <c r="J204" s="3">
        <f t="shared" si="3"/>
        <v>2.5416666666666665</v>
      </c>
    </row>
    <row r="205" spans="1:10" x14ac:dyDescent="0.3">
      <c r="A205" t="s">
        <v>255</v>
      </c>
      <c r="B205" t="s">
        <v>1394</v>
      </c>
      <c r="C205" t="s">
        <v>1399</v>
      </c>
      <c r="D205" t="s">
        <v>1397</v>
      </c>
      <c r="E205" t="s">
        <v>1393</v>
      </c>
      <c r="F205" t="s">
        <v>1393</v>
      </c>
      <c r="G205" t="s">
        <v>1397</v>
      </c>
      <c r="H205" t="s">
        <v>1398</v>
      </c>
      <c r="I205" t="s">
        <v>1393</v>
      </c>
      <c r="J205" s="3">
        <f t="shared" si="3"/>
        <v>3.0625</v>
      </c>
    </row>
    <row r="206" spans="1:10" x14ac:dyDescent="0.3">
      <c r="A206" t="s">
        <v>256</v>
      </c>
      <c r="B206" t="s">
        <v>1395</v>
      </c>
      <c r="C206" t="s">
        <v>1397</v>
      </c>
      <c r="D206" t="s">
        <v>1394</v>
      </c>
      <c r="E206" t="s">
        <v>43</v>
      </c>
      <c r="F206" t="s">
        <v>1396</v>
      </c>
      <c r="G206" t="s">
        <v>1393</v>
      </c>
      <c r="H206" t="s">
        <v>1395</v>
      </c>
      <c r="I206" t="s">
        <v>1396</v>
      </c>
      <c r="J206" s="3">
        <f t="shared" si="3"/>
        <v>3.125</v>
      </c>
    </row>
    <row r="207" spans="1:10" x14ac:dyDescent="0.3">
      <c r="A207" t="s">
        <v>257</v>
      </c>
      <c r="B207" t="s">
        <v>1395</v>
      </c>
      <c r="C207" t="s">
        <v>1397</v>
      </c>
      <c r="D207" t="s">
        <v>1393</v>
      </c>
      <c r="E207" t="s">
        <v>1398</v>
      </c>
      <c r="F207" t="s">
        <v>1395</v>
      </c>
      <c r="G207" t="s">
        <v>1397</v>
      </c>
      <c r="H207" t="s">
        <v>1396</v>
      </c>
      <c r="I207" t="s">
        <v>1395</v>
      </c>
      <c r="J207" s="3">
        <f t="shared" si="3"/>
        <v>3.1666666666666665</v>
      </c>
    </row>
    <row r="208" spans="1:10" x14ac:dyDescent="0.3">
      <c r="A208" t="s">
        <v>258</v>
      </c>
      <c r="B208" t="s">
        <v>1395</v>
      </c>
      <c r="C208" t="s">
        <v>1398</v>
      </c>
      <c r="D208" t="s">
        <v>1399</v>
      </c>
      <c r="E208" t="s">
        <v>1398</v>
      </c>
      <c r="F208" t="s">
        <v>1396</v>
      </c>
      <c r="G208" t="s">
        <v>1394</v>
      </c>
      <c r="H208" t="s">
        <v>1393</v>
      </c>
      <c r="I208" t="s">
        <v>1400</v>
      </c>
      <c r="J208" s="3">
        <f t="shared" si="3"/>
        <v>2.4583333333333335</v>
      </c>
    </row>
    <row r="209" spans="1:10" x14ac:dyDescent="0.3">
      <c r="A209" t="s">
        <v>259</v>
      </c>
      <c r="B209" t="s">
        <v>1397</v>
      </c>
      <c r="C209" t="s">
        <v>1398</v>
      </c>
      <c r="D209" t="s">
        <v>1395</v>
      </c>
      <c r="E209" t="s">
        <v>1396</v>
      </c>
      <c r="F209" t="s">
        <v>1400</v>
      </c>
      <c r="G209" t="s">
        <v>1398</v>
      </c>
      <c r="H209" t="s">
        <v>1396</v>
      </c>
      <c r="I209" t="s">
        <v>1395</v>
      </c>
      <c r="J209" s="3">
        <f t="shared" si="3"/>
        <v>2.7083333333333335</v>
      </c>
    </row>
    <row r="210" spans="1:10" x14ac:dyDescent="0.3">
      <c r="A210" t="s">
        <v>260</v>
      </c>
      <c r="B210" t="s">
        <v>1395</v>
      </c>
      <c r="C210" t="s">
        <v>43</v>
      </c>
      <c r="D210" t="s">
        <v>1395</v>
      </c>
      <c r="E210" t="s">
        <v>1397</v>
      </c>
      <c r="F210" t="s">
        <v>1396</v>
      </c>
      <c r="G210" t="s">
        <v>43</v>
      </c>
      <c r="H210" t="s">
        <v>1398</v>
      </c>
      <c r="I210" t="s">
        <v>1394</v>
      </c>
      <c r="J210" s="3">
        <f t="shared" si="3"/>
        <v>2.90625</v>
      </c>
    </row>
    <row r="211" spans="1:10" x14ac:dyDescent="0.3">
      <c r="A211" t="s">
        <v>261</v>
      </c>
      <c r="B211" t="s">
        <v>1393</v>
      </c>
      <c r="C211" t="s">
        <v>1394</v>
      </c>
      <c r="D211" t="s">
        <v>1395</v>
      </c>
      <c r="E211" t="s">
        <v>1396</v>
      </c>
      <c r="F211" t="s">
        <v>1398</v>
      </c>
      <c r="G211" t="s">
        <v>43</v>
      </c>
      <c r="H211" t="s">
        <v>1393</v>
      </c>
      <c r="I211" t="s">
        <v>1398</v>
      </c>
      <c r="J211" s="3">
        <f t="shared" si="3"/>
        <v>3.25</v>
      </c>
    </row>
    <row r="212" spans="1:10" x14ac:dyDescent="0.3">
      <c r="A212" t="s">
        <v>262</v>
      </c>
      <c r="B212" t="s">
        <v>1398</v>
      </c>
      <c r="C212" t="s">
        <v>43</v>
      </c>
      <c r="D212" t="s">
        <v>1396</v>
      </c>
      <c r="E212" t="s">
        <v>1394</v>
      </c>
      <c r="F212" t="s">
        <v>43</v>
      </c>
      <c r="G212" t="s">
        <v>1398</v>
      </c>
      <c r="H212" t="s">
        <v>1397</v>
      </c>
      <c r="I212" t="s">
        <v>43</v>
      </c>
      <c r="J212" s="3">
        <f t="shared" si="3"/>
        <v>2.5208333333333335</v>
      </c>
    </row>
    <row r="213" spans="1:10" x14ac:dyDescent="0.3">
      <c r="A213" t="s">
        <v>263</v>
      </c>
      <c r="B213" t="s">
        <v>1395</v>
      </c>
      <c r="C213" t="s">
        <v>1393</v>
      </c>
      <c r="D213" t="s">
        <v>1396</v>
      </c>
      <c r="E213" t="s">
        <v>1398</v>
      </c>
      <c r="F213" t="s">
        <v>1394</v>
      </c>
      <c r="G213" t="s">
        <v>1398</v>
      </c>
      <c r="H213" t="s">
        <v>1399</v>
      </c>
      <c r="I213" t="s">
        <v>1394</v>
      </c>
      <c r="J213" s="3">
        <f t="shared" si="3"/>
        <v>3.0833333333333335</v>
      </c>
    </row>
    <row r="214" spans="1:10" x14ac:dyDescent="0.3">
      <c r="A214" t="s">
        <v>264</v>
      </c>
      <c r="B214" t="s">
        <v>1396</v>
      </c>
      <c r="C214" t="s">
        <v>1397</v>
      </c>
      <c r="D214" t="s">
        <v>1396</v>
      </c>
      <c r="E214" t="s">
        <v>1394</v>
      </c>
      <c r="F214" t="s">
        <v>1394</v>
      </c>
      <c r="G214" t="s">
        <v>1398</v>
      </c>
      <c r="H214" t="s">
        <v>1398</v>
      </c>
      <c r="I214" t="s">
        <v>1396</v>
      </c>
      <c r="J214" s="3">
        <f t="shared" si="3"/>
        <v>3.0104166666666665</v>
      </c>
    </row>
    <row r="215" spans="1:10" x14ac:dyDescent="0.3">
      <c r="A215" t="s">
        <v>265</v>
      </c>
      <c r="B215" t="s">
        <v>1393</v>
      </c>
      <c r="C215" t="s">
        <v>1398</v>
      </c>
      <c r="D215" t="s">
        <v>1398</v>
      </c>
      <c r="E215" t="s">
        <v>1394</v>
      </c>
      <c r="F215" t="s">
        <v>1396</v>
      </c>
      <c r="G215" t="s">
        <v>43</v>
      </c>
      <c r="H215" t="s">
        <v>43</v>
      </c>
      <c r="I215" t="s">
        <v>1396</v>
      </c>
      <c r="J215" s="3">
        <f t="shared" si="3"/>
        <v>2.9270833333333335</v>
      </c>
    </row>
    <row r="216" spans="1:10" x14ac:dyDescent="0.3">
      <c r="A216" t="s">
        <v>266</v>
      </c>
      <c r="B216" t="s">
        <v>1396</v>
      </c>
      <c r="C216" t="s">
        <v>1396</v>
      </c>
      <c r="D216" t="s">
        <v>1394</v>
      </c>
      <c r="E216" t="s">
        <v>1394</v>
      </c>
      <c r="F216" t="s">
        <v>1394</v>
      </c>
      <c r="G216" t="s">
        <v>1397</v>
      </c>
      <c r="H216" t="s">
        <v>1395</v>
      </c>
      <c r="I216" t="s">
        <v>1396</v>
      </c>
      <c r="J216" s="3">
        <f t="shared" si="3"/>
        <v>3.2604166666666665</v>
      </c>
    </row>
    <row r="217" spans="1:10" x14ac:dyDescent="0.3">
      <c r="A217" t="s">
        <v>267</v>
      </c>
      <c r="B217" t="s">
        <v>1395</v>
      </c>
      <c r="C217" t="s">
        <v>1396</v>
      </c>
      <c r="D217" t="s">
        <v>1393</v>
      </c>
      <c r="E217" t="s">
        <v>1393</v>
      </c>
      <c r="F217" t="s">
        <v>1400</v>
      </c>
      <c r="G217" t="s">
        <v>1395</v>
      </c>
      <c r="H217" t="s">
        <v>1393</v>
      </c>
      <c r="I217" t="s">
        <v>1397</v>
      </c>
      <c r="J217" s="3">
        <f t="shared" si="3"/>
        <v>3.1666666666666665</v>
      </c>
    </row>
    <row r="218" spans="1:10" x14ac:dyDescent="0.3">
      <c r="A218" t="s">
        <v>268</v>
      </c>
      <c r="B218" t="s">
        <v>1398</v>
      </c>
      <c r="C218" t="s">
        <v>1394</v>
      </c>
      <c r="D218" t="s">
        <v>1396</v>
      </c>
      <c r="E218" t="s">
        <v>1395</v>
      </c>
      <c r="F218" t="s">
        <v>1396</v>
      </c>
      <c r="G218" t="s">
        <v>1393</v>
      </c>
      <c r="H218" t="s">
        <v>1393</v>
      </c>
      <c r="I218" t="s">
        <v>1400</v>
      </c>
      <c r="J218" s="3">
        <f t="shared" si="3"/>
        <v>2.8125</v>
      </c>
    </row>
    <row r="219" spans="1:10" x14ac:dyDescent="0.3">
      <c r="A219" t="s">
        <v>269</v>
      </c>
      <c r="B219" t="s">
        <v>43</v>
      </c>
      <c r="C219" t="s">
        <v>1396</v>
      </c>
      <c r="D219" t="s">
        <v>1396</v>
      </c>
      <c r="E219" t="s">
        <v>1394</v>
      </c>
      <c r="F219" t="s">
        <v>1398</v>
      </c>
      <c r="G219" t="s">
        <v>1395</v>
      </c>
      <c r="H219" t="s">
        <v>1399</v>
      </c>
      <c r="I219" t="s">
        <v>1398</v>
      </c>
      <c r="J219" s="3">
        <f t="shared" si="3"/>
        <v>2.59375</v>
      </c>
    </row>
    <row r="220" spans="1:10" x14ac:dyDescent="0.3">
      <c r="A220" t="s">
        <v>270</v>
      </c>
      <c r="B220" t="s">
        <v>1398</v>
      </c>
      <c r="C220" t="s">
        <v>1399</v>
      </c>
      <c r="D220" t="s">
        <v>1394</v>
      </c>
      <c r="E220" t="s">
        <v>1393</v>
      </c>
      <c r="F220" t="s">
        <v>1394</v>
      </c>
      <c r="G220" t="s">
        <v>1394</v>
      </c>
      <c r="H220" t="s">
        <v>1393</v>
      </c>
      <c r="I220" t="s">
        <v>1393</v>
      </c>
      <c r="J220" s="3">
        <f t="shared" si="3"/>
        <v>3.1875</v>
      </c>
    </row>
    <row r="221" spans="1:10" x14ac:dyDescent="0.3">
      <c r="A221" t="s">
        <v>271</v>
      </c>
      <c r="B221" t="s">
        <v>1396</v>
      </c>
      <c r="C221" t="s">
        <v>43</v>
      </c>
      <c r="D221" t="s">
        <v>1396</v>
      </c>
      <c r="E221" t="s">
        <v>1399</v>
      </c>
      <c r="F221" t="s">
        <v>43</v>
      </c>
      <c r="G221" t="s">
        <v>1393</v>
      </c>
      <c r="H221" t="s">
        <v>1396</v>
      </c>
      <c r="I221" t="s">
        <v>1395</v>
      </c>
      <c r="J221" s="3">
        <f t="shared" si="3"/>
        <v>2.6666666666666665</v>
      </c>
    </row>
    <row r="222" spans="1:10" x14ac:dyDescent="0.3">
      <c r="A222" t="s">
        <v>272</v>
      </c>
      <c r="B222" t="s">
        <v>1393</v>
      </c>
      <c r="C222" t="s">
        <v>1399</v>
      </c>
      <c r="D222" t="s">
        <v>1394</v>
      </c>
      <c r="E222" t="s">
        <v>1396</v>
      </c>
      <c r="F222" t="s">
        <v>1397</v>
      </c>
      <c r="G222" t="s">
        <v>1399</v>
      </c>
      <c r="H222" t="s">
        <v>1397</v>
      </c>
      <c r="I222" t="s">
        <v>1395</v>
      </c>
      <c r="J222" s="3">
        <f t="shared" si="3"/>
        <v>2.7604166666666665</v>
      </c>
    </row>
    <row r="223" spans="1:10" x14ac:dyDescent="0.3">
      <c r="A223" t="s">
        <v>273</v>
      </c>
      <c r="B223" t="s">
        <v>1395</v>
      </c>
      <c r="C223" t="s">
        <v>1394</v>
      </c>
      <c r="D223" t="s">
        <v>1399</v>
      </c>
      <c r="E223" t="s">
        <v>1400</v>
      </c>
      <c r="F223" t="s">
        <v>1394</v>
      </c>
      <c r="G223" t="s">
        <v>1393</v>
      </c>
      <c r="H223" t="s">
        <v>1394</v>
      </c>
      <c r="I223" t="s">
        <v>1395</v>
      </c>
      <c r="J223" s="3">
        <f t="shared" si="3"/>
        <v>2.9895833333333335</v>
      </c>
    </row>
    <row r="224" spans="1:10" x14ac:dyDescent="0.3">
      <c r="A224" t="s">
        <v>274</v>
      </c>
      <c r="B224" t="s">
        <v>43</v>
      </c>
      <c r="C224" t="s">
        <v>43</v>
      </c>
      <c r="D224" t="s">
        <v>1398</v>
      </c>
      <c r="E224" t="s">
        <v>1393</v>
      </c>
      <c r="F224" t="s">
        <v>1398</v>
      </c>
      <c r="G224" t="s">
        <v>1397</v>
      </c>
      <c r="H224" t="s">
        <v>1397</v>
      </c>
      <c r="I224" t="s">
        <v>1400</v>
      </c>
      <c r="J224" s="3">
        <f t="shared" si="3"/>
        <v>2.15625</v>
      </c>
    </row>
    <row r="225" spans="1:10" x14ac:dyDescent="0.3">
      <c r="A225" t="s">
        <v>275</v>
      </c>
      <c r="B225" t="s">
        <v>1393</v>
      </c>
      <c r="C225" t="s">
        <v>1393</v>
      </c>
      <c r="D225" t="s">
        <v>1398</v>
      </c>
      <c r="E225" t="s">
        <v>1399</v>
      </c>
      <c r="F225" t="s">
        <v>1397</v>
      </c>
      <c r="G225" t="s">
        <v>1394</v>
      </c>
      <c r="H225" t="s">
        <v>1396</v>
      </c>
      <c r="I225" t="s">
        <v>1398</v>
      </c>
      <c r="J225" s="3">
        <f t="shared" si="3"/>
        <v>3</v>
      </c>
    </row>
    <row r="226" spans="1:10" x14ac:dyDescent="0.3">
      <c r="A226" t="s">
        <v>276</v>
      </c>
      <c r="B226" t="s">
        <v>1393</v>
      </c>
      <c r="C226" t="s">
        <v>1395</v>
      </c>
      <c r="D226" t="s">
        <v>1394</v>
      </c>
      <c r="E226" t="s">
        <v>1393</v>
      </c>
      <c r="F226" t="s">
        <v>1396</v>
      </c>
      <c r="G226" t="s">
        <v>1394</v>
      </c>
      <c r="H226" t="s">
        <v>1394</v>
      </c>
      <c r="I226" t="s">
        <v>1393</v>
      </c>
      <c r="J226" s="3">
        <f t="shared" si="3"/>
        <v>3.7604166666666665</v>
      </c>
    </row>
    <row r="227" spans="1:10" x14ac:dyDescent="0.3">
      <c r="A227" t="s">
        <v>277</v>
      </c>
      <c r="B227" t="s">
        <v>1397</v>
      </c>
      <c r="C227" t="s">
        <v>1393</v>
      </c>
      <c r="D227" t="s">
        <v>1397</v>
      </c>
      <c r="E227" t="s">
        <v>1394</v>
      </c>
      <c r="F227" t="s">
        <v>1393</v>
      </c>
      <c r="G227" t="s">
        <v>43</v>
      </c>
      <c r="H227" t="s">
        <v>1394</v>
      </c>
      <c r="I227" t="s">
        <v>1399</v>
      </c>
      <c r="J227" s="3">
        <f t="shared" si="3"/>
        <v>2.9583333333333335</v>
      </c>
    </row>
    <row r="228" spans="1:10" x14ac:dyDescent="0.3">
      <c r="A228" t="s">
        <v>278</v>
      </c>
      <c r="B228" t="s">
        <v>43</v>
      </c>
      <c r="C228" t="s">
        <v>43</v>
      </c>
      <c r="D228" t="s">
        <v>1393</v>
      </c>
      <c r="E228" t="s">
        <v>1395</v>
      </c>
      <c r="F228" t="s">
        <v>1393</v>
      </c>
      <c r="G228" t="s">
        <v>43</v>
      </c>
      <c r="H228" t="s">
        <v>1398</v>
      </c>
      <c r="I228" t="s">
        <v>1396</v>
      </c>
      <c r="J228" s="3">
        <f t="shared" si="3"/>
        <v>2.75</v>
      </c>
    </row>
    <row r="229" spans="1:10" x14ac:dyDescent="0.3">
      <c r="A229" t="s">
        <v>279</v>
      </c>
      <c r="B229" t="s">
        <v>1396</v>
      </c>
      <c r="C229" t="s">
        <v>1395</v>
      </c>
      <c r="D229" t="s">
        <v>1398</v>
      </c>
      <c r="E229" t="s">
        <v>1396</v>
      </c>
      <c r="F229" t="s">
        <v>1396</v>
      </c>
      <c r="G229" t="s">
        <v>1393</v>
      </c>
      <c r="H229" t="s">
        <v>1394</v>
      </c>
      <c r="I229" t="s">
        <v>1393</v>
      </c>
      <c r="J229" s="3">
        <f t="shared" si="3"/>
        <v>3.3854166666666665</v>
      </c>
    </row>
    <row r="230" spans="1:10" x14ac:dyDescent="0.3">
      <c r="A230" t="s">
        <v>280</v>
      </c>
      <c r="B230" t="s">
        <v>1397</v>
      </c>
      <c r="C230" t="s">
        <v>1396</v>
      </c>
      <c r="D230" t="s">
        <v>1393</v>
      </c>
      <c r="E230" t="s">
        <v>43</v>
      </c>
      <c r="F230" t="s">
        <v>1394</v>
      </c>
      <c r="G230" t="s">
        <v>1395</v>
      </c>
      <c r="H230" t="s">
        <v>1394</v>
      </c>
      <c r="I230" t="s">
        <v>1394</v>
      </c>
      <c r="J230" s="3">
        <f t="shared" si="3"/>
        <v>3.2395833333333335</v>
      </c>
    </row>
    <row r="231" spans="1:10" x14ac:dyDescent="0.3">
      <c r="A231" t="s">
        <v>281</v>
      </c>
      <c r="B231" t="s">
        <v>1398</v>
      </c>
      <c r="C231" t="s">
        <v>1395</v>
      </c>
      <c r="D231" t="s">
        <v>1394</v>
      </c>
      <c r="E231" t="s">
        <v>1396</v>
      </c>
      <c r="F231" t="s">
        <v>1395</v>
      </c>
      <c r="G231" t="s">
        <v>43</v>
      </c>
      <c r="H231" t="s">
        <v>1393</v>
      </c>
      <c r="I231" t="s">
        <v>1400</v>
      </c>
      <c r="J231" s="3">
        <f t="shared" si="3"/>
        <v>2.6458333333333335</v>
      </c>
    </row>
    <row r="232" spans="1:10" x14ac:dyDescent="0.3">
      <c r="A232" t="s">
        <v>282</v>
      </c>
      <c r="B232" t="s">
        <v>1393</v>
      </c>
      <c r="C232" t="s">
        <v>43</v>
      </c>
      <c r="D232" t="s">
        <v>1397</v>
      </c>
      <c r="E232" t="s">
        <v>1394</v>
      </c>
      <c r="F232" t="s">
        <v>1396</v>
      </c>
      <c r="G232" t="s">
        <v>1394</v>
      </c>
      <c r="H232" t="s">
        <v>1394</v>
      </c>
      <c r="I232" t="s">
        <v>1394</v>
      </c>
      <c r="J232" s="3">
        <f t="shared" si="3"/>
        <v>3.3541666666666665</v>
      </c>
    </row>
    <row r="233" spans="1:10" x14ac:dyDescent="0.3">
      <c r="A233" t="s">
        <v>283</v>
      </c>
      <c r="B233" t="s">
        <v>1395</v>
      </c>
      <c r="C233" t="s">
        <v>1400</v>
      </c>
      <c r="D233" t="s">
        <v>1400</v>
      </c>
      <c r="E233" t="s">
        <v>43</v>
      </c>
      <c r="F233" t="s">
        <v>1393</v>
      </c>
      <c r="G233" t="s">
        <v>1394</v>
      </c>
      <c r="H233" t="s">
        <v>43</v>
      </c>
      <c r="I233" t="s">
        <v>1393</v>
      </c>
      <c r="J233" s="3">
        <f t="shared" si="3"/>
        <v>2.3958333333333335</v>
      </c>
    </row>
    <row r="234" spans="1:10" x14ac:dyDescent="0.3">
      <c r="A234" t="s">
        <v>284</v>
      </c>
      <c r="B234" t="s">
        <v>1397</v>
      </c>
      <c r="C234" t="s">
        <v>1394</v>
      </c>
      <c r="D234" t="s">
        <v>1400</v>
      </c>
      <c r="E234" t="s">
        <v>1393</v>
      </c>
      <c r="F234" t="s">
        <v>1398</v>
      </c>
      <c r="G234" t="s">
        <v>1395</v>
      </c>
      <c r="H234" t="s">
        <v>1393</v>
      </c>
      <c r="I234" t="s">
        <v>1393</v>
      </c>
      <c r="J234" s="3">
        <f t="shared" si="3"/>
        <v>3.25</v>
      </c>
    </row>
    <row r="235" spans="1:10" x14ac:dyDescent="0.3">
      <c r="A235" t="s">
        <v>285</v>
      </c>
      <c r="B235" t="s">
        <v>1398</v>
      </c>
      <c r="C235" t="s">
        <v>1396</v>
      </c>
      <c r="D235" t="s">
        <v>1394</v>
      </c>
      <c r="E235" t="s">
        <v>1395</v>
      </c>
      <c r="F235" t="s">
        <v>43</v>
      </c>
      <c r="G235" t="s">
        <v>1394</v>
      </c>
      <c r="H235" t="s">
        <v>1396</v>
      </c>
      <c r="I235" t="s">
        <v>1393</v>
      </c>
      <c r="J235" s="3">
        <f t="shared" si="3"/>
        <v>3.1875</v>
      </c>
    </row>
    <row r="236" spans="1:10" x14ac:dyDescent="0.3">
      <c r="A236" t="s">
        <v>286</v>
      </c>
      <c r="B236" t="s">
        <v>1394</v>
      </c>
      <c r="C236" t="s">
        <v>1398</v>
      </c>
      <c r="D236" t="s">
        <v>1397</v>
      </c>
      <c r="E236" t="s">
        <v>1394</v>
      </c>
      <c r="F236" t="s">
        <v>1393</v>
      </c>
      <c r="G236" t="s">
        <v>1393</v>
      </c>
      <c r="H236" t="s">
        <v>1396</v>
      </c>
      <c r="I236" t="s">
        <v>1396</v>
      </c>
      <c r="J236" s="3">
        <f t="shared" si="3"/>
        <v>3.28125</v>
      </c>
    </row>
    <row r="237" spans="1:10" x14ac:dyDescent="0.3">
      <c r="A237" t="s">
        <v>287</v>
      </c>
      <c r="B237" t="s">
        <v>1394</v>
      </c>
      <c r="C237" t="s">
        <v>1394</v>
      </c>
      <c r="D237" t="s">
        <v>1396</v>
      </c>
      <c r="E237" t="s">
        <v>1397</v>
      </c>
      <c r="F237" t="s">
        <v>1398</v>
      </c>
      <c r="G237" t="s">
        <v>1396</v>
      </c>
      <c r="H237" t="s">
        <v>1394</v>
      </c>
      <c r="I237" t="s">
        <v>1393</v>
      </c>
      <c r="J237" s="3">
        <f t="shared" si="3"/>
        <v>3.4375</v>
      </c>
    </row>
    <row r="238" spans="1:10" x14ac:dyDescent="0.3">
      <c r="A238" t="s">
        <v>288</v>
      </c>
      <c r="B238" t="s">
        <v>1397</v>
      </c>
      <c r="C238" t="s">
        <v>1395</v>
      </c>
      <c r="D238" t="s">
        <v>1397</v>
      </c>
      <c r="E238" t="s">
        <v>1393</v>
      </c>
      <c r="F238" t="s">
        <v>1398</v>
      </c>
      <c r="G238" t="s">
        <v>1395</v>
      </c>
      <c r="H238" t="s">
        <v>1398</v>
      </c>
      <c r="I238" t="s">
        <v>43</v>
      </c>
      <c r="J238" s="3">
        <f t="shared" si="3"/>
        <v>2.9166666666666665</v>
      </c>
    </row>
    <row r="239" spans="1:10" x14ac:dyDescent="0.3">
      <c r="A239" t="s">
        <v>289</v>
      </c>
      <c r="B239" t="s">
        <v>1396</v>
      </c>
      <c r="C239" t="s">
        <v>1393</v>
      </c>
      <c r="D239" t="s">
        <v>43</v>
      </c>
      <c r="E239" t="s">
        <v>1396</v>
      </c>
      <c r="F239" t="s">
        <v>43</v>
      </c>
      <c r="G239" t="s">
        <v>1394</v>
      </c>
      <c r="H239" t="s">
        <v>1394</v>
      </c>
      <c r="I239" t="s">
        <v>1398</v>
      </c>
      <c r="J239" s="3">
        <f t="shared" si="3"/>
        <v>3.0729166666666665</v>
      </c>
    </row>
    <row r="240" spans="1:10" x14ac:dyDescent="0.3">
      <c r="A240" t="s">
        <v>290</v>
      </c>
      <c r="B240" t="s">
        <v>1395</v>
      </c>
      <c r="C240" t="s">
        <v>1394</v>
      </c>
      <c r="D240" t="s">
        <v>1395</v>
      </c>
      <c r="E240" t="s">
        <v>1396</v>
      </c>
      <c r="F240" t="s">
        <v>1393</v>
      </c>
      <c r="G240" t="s">
        <v>1396</v>
      </c>
      <c r="H240" t="s">
        <v>1395</v>
      </c>
      <c r="I240" t="s">
        <v>1396</v>
      </c>
      <c r="J240" s="3">
        <f t="shared" si="3"/>
        <v>3.3958333333333335</v>
      </c>
    </row>
    <row r="241" spans="1:10" x14ac:dyDescent="0.3">
      <c r="A241" t="s">
        <v>291</v>
      </c>
      <c r="B241" t="s">
        <v>1393</v>
      </c>
      <c r="C241" t="s">
        <v>1397</v>
      </c>
      <c r="D241" t="s">
        <v>1398</v>
      </c>
      <c r="E241" t="s">
        <v>43</v>
      </c>
      <c r="F241" t="s">
        <v>1395</v>
      </c>
      <c r="G241" t="s">
        <v>1397</v>
      </c>
      <c r="H241" t="s">
        <v>1395</v>
      </c>
      <c r="I241" t="s">
        <v>1398</v>
      </c>
      <c r="J241" s="3">
        <f t="shared" si="3"/>
        <v>2.9583333333333335</v>
      </c>
    </row>
    <row r="242" spans="1:10" x14ac:dyDescent="0.3">
      <c r="A242" t="s">
        <v>292</v>
      </c>
      <c r="B242" t="s">
        <v>1393</v>
      </c>
      <c r="C242" t="s">
        <v>43</v>
      </c>
      <c r="D242" t="s">
        <v>1399</v>
      </c>
      <c r="E242" t="s">
        <v>1396</v>
      </c>
      <c r="F242" t="s">
        <v>1396</v>
      </c>
      <c r="G242" t="s">
        <v>1396</v>
      </c>
      <c r="H242" t="s">
        <v>1396</v>
      </c>
      <c r="I242" t="s">
        <v>1393</v>
      </c>
      <c r="J242" s="3">
        <f t="shared" si="3"/>
        <v>3</v>
      </c>
    </row>
    <row r="243" spans="1:10" x14ac:dyDescent="0.3">
      <c r="A243" t="s">
        <v>293</v>
      </c>
      <c r="B243" t="s">
        <v>1399</v>
      </c>
      <c r="C243" t="s">
        <v>1394</v>
      </c>
      <c r="D243" t="s">
        <v>1394</v>
      </c>
      <c r="E243" t="s">
        <v>1393</v>
      </c>
      <c r="F243" t="s">
        <v>1394</v>
      </c>
      <c r="G243" t="s">
        <v>1398</v>
      </c>
      <c r="H243" t="s">
        <v>1393</v>
      </c>
      <c r="I243" t="s">
        <v>1393</v>
      </c>
      <c r="J243" s="3">
        <f t="shared" si="3"/>
        <v>3.2916666666666665</v>
      </c>
    </row>
    <row r="244" spans="1:10" x14ac:dyDescent="0.3">
      <c r="A244" t="s">
        <v>294</v>
      </c>
      <c r="B244" t="s">
        <v>1397</v>
      </c>
      <c r="C244" t="s">
        <v>1394</v>
      </c>
      <c r="D244" t="s">
        <v>1393</v>
      </c>
      <c r="E244" t="s">
        <v>1396</v>
      </c>
      <c r="F244" t="s">
        <v>1396</v>
      </c>
      <c r="G244" t="s">
        <v>1396</v>
      </c>
      <c r="H244" t="s">
        <v>1397</v>
      </c>
      <c r="I244" t="s">
        <v>1393</v>
      </c>
      <c r="J244" s="3">
        <f t="shared" si="3"/>
        <v>3.3020833333333335</v>
      </c>
    </row>
    <row r="245" spans="1:10" x14ac:dyDescent="0.3">
      <c r="A245" t="s">
        <v>295</v>
      </c>
      <c r="B245" t="s">
        <v>43</v>
      </c>
      <c r="C245" t="s">
        <v>1397</v>
      </c>
      <c r="D245" t="s">
        <v>1393</v>
      </c>
      <c r="E245" t="s">
        <v>1393</v>
      </c>
      <c r="F245" t="s">
        <v>1396</v>
      </c>
      <c r="G245" t="s">
        <v>1396</v>
      </c>
      <c r="H245" t="s">
        <v>1394</v>
      </c>
      <c r="I245" t="s">
        <v>1393</v>
      </c>
      <c r="J245" s="3">
        <f t="shared" si="3"/>
        <v>3.2604166666666665</v>
      </c>
    </row>
    <row r="246" spans="1:10" x14ac:dyDescent="0.3">
      <c r="A246" t="s">
        <v>296</v>
      </c>
      <c r="B246" t="s">
        <v>1395</v>
      </c>
      <c r="C246" t="s">
        <v>1393</v>
      </c>
      <c r="D246" t="s">
        <v>1396</v>
      </c>
      <c r="E246" t="s">
        <v>43</v>
      </c>
      <c r="F246" t="s">
        <v>1393</v>
      </c>
      <c r="G246" t="s">
        <v>1396</v>
      </c>
      <c r="H246" t="s">
        <v>1397</v>
      </c>
      <c r="I246" t="s">
        <v>1394</v>
      </c>
      <c r="J246" s="3">
        <f t="shared" si="3"/>
        <v>3.3020833333333335</v>
      </c>
    </row>
    <row r="247" spans="1:10" x14ac:dyDescent="0.3">
      <c r="A247" t="s">
        <v>297</v>
      </c>
      <c r="B247" t="s">
        <v>1398</v>
      </c>
      <c r="C247" t="s">
        <v>1399</v>
      </c>
      <c r="D247" t="s">
        <v>1395</v>
      </c>
      <c r="E247" t="s">
        <v>1395</v>
      </c>
      <c r="F247" t="s">
        <v>1398</v>
      </c>
      <c r="G247" t="s">
        <v>1396</v>
      </c>
      <c r="H247" t="s">
        <v>1395</v>
      </c>
      <c r="I247" t="s">
        <v>1399</v>
      </c>
      <c r="J247" s="3">
        <f t="shared" si="3"/>
        <v>2.375</v>
      </c>
    </row>
    <row r="248" spans="1:10" x14ac:dyDescent="0.3">
      <c r="A248" t="s">
        <v>298</v>
      </c>
      <c r="B248" t="s">
        <v>1398</v>
      </c>
      <c r="C248" t="s">
        <v>1395</v>
      </c>
      <c r="D248" t="s">
        <v>1394</v>
      </c>
      <c r="E248" t="s">
        <v>1395</v>
      </c>
      <c r="F248" t="s">
        <v>1395</v>
      </c>
      <c r="G248" t="s">
        <v>1400</v>
      </c>
      <c r="H248" t="s">
        <v>1398</v>
      </c>
      <c r="I248" t="s">
        <v>43</v>
      </c>
      <c r="J248" s="3">
        <f t="shared" si="3"/>
        <v>2.6875</v>
      </c>
    </row>
    <row r="249" spans="1:10" x14ac:dyDescent="0.3">
      <c r="A249" t="s">
        <v>299</v>
      </c>
      <c r="B249" t="s">
        <v>1398</v>
      </c>
      <c r="C249" t="s">
        <v>1398</v>
      </c>
      <c r="D249" t="s">
        <v>1393</v>
      </c>
      <c r="E249" t="s">
        <v>1396</v>
      </c>
      <c r="F249" t="s">
        <v>1399</v>
      </c>
      <c r="G249" t="s">
        <v>1399</v>
      </c>
      <c r="H249" t="s">
        <v>1394</v>
      </c>
      <c r="I249" t="s">
        <v>1395</v>
      </c>
      <c r="J249" s="3">
        <f t="shared" si="3"/>
        <v>2.7604166666666665</v>
      </c>
    </row>
    <row r="250" spans="1:10" x14ac:dyDescent="0.3">
      <c r="A250" t="s">
        <v>300</v>
      </c>
      <c r="B250" t="s">
        <v>1397</v>
      </c>
      <c r="C250" t="s">
        <v>1395</v>
      </c>
      <c r="D250" t="s">
        <v>1396</v>
      </c>
      <c r="E250" t="s">
        <v>1393</v>
      </c>
      <c r="F250" t="s">
        <v>1395</v>
      </c>
      <c r="G250" t="s">
        <v>1396</v>
      </c>
      <c r="H250" t="s">
        <v>1393</v>
      </c>
      <c r="I250" t="s">
        <v>1393</v>
      </c>
      <c r="J250" s="3">
        <f t="shared" si="3"/>
        <v>3.5</v>
      </c>
    </row>
    <row r="251" spans="1:10" x14ac:dyDescent="0.3">
      <c r="A251" t="s">
        <v>301</v>
      </c>
      <c r="B251" t="s">
        <v>1399</v>
      </c>
      <c r="C251" t="s">
        <v>1398</v>
      </c>
      <c r="D251" t="s">
        <v>1399</v>
      </c>
      <c r="E251" t="s">
        <v>1397</v>
      </c>
      <c r="F251" t="s">
        <v>1398</v>
      </c>
      <c r="G251" t="s">
        <v>43</v>
      </c>
      <c r="H251" t="s">
        <v>43</v>
      </c>
      <c r="I251" t="s">
        <v>1393</v>
      </c>
      <c r="J251" s="3">
        <f t="shared" si="3"/>
        <v>2.3020833333333335</v>
      </c>
    </row>
    <row r="252" spans="1:10" x14ac:dyDescent="0.3">
      <c r="A252" t="s">
        <v>302</v>
      </c>
      <c r="B252" t="s">
        <v>1397</v>
      </c>
      <c r="C252" t="s">
        <v>1394</v>
      </c>
      <c r="D252" t="s">
        <v>1397</v>
      </c>
      <c r="E252" t="s">
        <v>1394</v>
      </c>
      <c r="F252" t="s">
        <v>1396</v>
      </c>
      <c r="G252" t="s">
        <v>43</v>
      </c>
      <c r="H252" t="s">
        <v>1396</v>
      </c>
      <c r="I252" t="s">
        <v>1394</v>
      </c>
      <c r="J252" s="3">
        <f t="shared" si="3"/>
        <v>3.1979166666666665</v>
      </c>
    </row>
    <row r="253" spans="1:10" x14ac:dyDescent="0.3">
      <c r="A253" t="s">
        <v>303</v>
      </c>
      <c r="B253" t="s">
        <v>1396</v>
      </c>
      <c r="C253" t="s">
        <v>1395</v>
      </c>
      <c r="D253" t="s">
        <v>1399</v>
      </c>
      <c r="E253" t="s">
        <v>1394</v>
      </c>
      <c r="F253" t="s">
        <v>1395</v>
      </c>
      <c r="G253" t="s">
        <v>1397</v>
      </c>
      <c r="H253" t="s">
        <v>1393</v>
      </c>
      <c r="I253" t="s">
        <v>1396</v>
      </c>
      <c r="J253" s="3">
        <f t="shared" si="3"/>
        <v>3.15625</v>
      </c>
    </row>
    <row r="254" spans="1:10" x14ac:dyDescent="0.3">
      <c r="A254" t="s">
        <v>304</v>
      </c>
      <c r="B254" t="s">
        <v>1399</v>
      </c>
      <c r="C254" t="s">
        <v>1396</v>
      </c>
      <c r="D254" t="s">
        <v>1394</v>
      </c>
      <c r="E254" t="s">
        <v>1396</v>
      </c>
      <c r="F254" t="s">
        <v>1396</v>
      </c>
      <c r="G254" t="s">
        <v>1393</v>
      </c>
      <c r="H254" t="s">
        <v>1393</v>
      </c>
      <c r="I254" t="s">
        <v>1393</v>
      </c>
      <c r="J254" s="3">
        <f t="shared" si="3"/>
        <v>3.1041666666666665</v>
      </c>
    </row>
    <row r="255" spans="1:10" x14ac:dyDescent="0.3">
      <c r="A255" t="s">
        <v>305</v>
      </c>
      <c r="B255" t="s">
        <v>1394</v>
      </c>
      <c r="C255" t="s">
        <v>1395</v>
      </c>
      <c r="D255" t="s">
        <v>1394</v>
      </c>
      <c r="E255" t="s">
        <v>1394</v>
      </c>
      <c r="F255" t="s">
        <v>1393</v>
      </c>
      <c r="G255" t="s">
        <v>1396</v>
      </c>
      <c r="H255" t="s">
        <v>1398</v>
      </c>
      <c r="I255" t="s">
        <v>1396</v>
      </c>
      <c r="J255" s="3">
        <f t="shared" si="3"/>
        <v>3.3854166666666665</v>
      </c>
    </row>
    <row r="256" spans="1:10" x14ac:dyDescent="0.3">
      <c r="A256" t="s">
        <v>306</v>
      </c>
      <c r="B256" t="s">
        <v>1396</v>
      </c>
      <c r="C256" t="s">
        <v>1397</v>
      </c>
      <c r="D256" t="s">
        <v>1394</v>
      </c>
      <c r="E256" t="s">
        <v>1397</v>
      </c>
      <c r="F256" t="s">
        <v>1396</v>
      </c>
      <c r="G256" t="s">
        <v>1396</v>
      </c>
      <c r="H256" t="s">
        <v>1396</v>
      </c>
      <c r="I256" t="s">
        <v>1396</v>
      </c>
      <c r="J256" s="3">
        <f t="shared" si="3"/>
        <v>2.9895833333333335</v>
      </c>
    </row>
    <row r="257" spans="1:10" x14ac:dyDescent="0.3">
      <c r="A257" t="s">
        <v>307</v>
      </c>
      <c r="B257" t="s">
        <v>1395</v>
      </c>
      <c r="C257" t="s">
        <v>1394</v>
      </c>
      <c r="D257" t="s">
        <v>1394</v>
      </c>
      <c r="E257" t="s">
        <v>1396</v>
      </c>
      <c r="F257" t="s">
        <v>1395</v>
      </c>
      <c r="G257" t="s">
        <v>1396</v>
      </c>
      <c r="H257" t="s">
        <v>1393</v>
      </c>
      <c r="I257" t="s">
        <v>1395</v>
      </c>
      <c r="J257" s="3">
        <f t="shared" si="3"/>
        <v>3.5208333333333335</v>
      </c>
    </row>
    <row r="258" spans="1:10" x14ac:dyDescent="0.3">
      <c r="A258" t="s">
        <v>308</v>
      </c>
      <c r="B258" t="s">
        <v>43</v>
      </c>
      <c r="C258" t="s">
        <v>1394</v>
      </c>
      <c r="D258" t="s">
        <v>1396</v>
      </c>
      <c r="E258" t="s">
        <v>1396</v>
      </c>
      <c r="F258" t="s">
        <v>1394</v>
      </c>
      <c r="G258" t="s">
        <v>1400</v>
      </c>
      <c r="H258" t="s">
        <v>1394</v>
      </c>
      <c r="I258" t="s">
        <v>1398</v>
      </c>
      <c r="J258" s="3">
        <f t="shared" si="3"/>
        <v>2.78125</v>
      </c>
    </row>
    <row r="259" spans="1:10" x14ac:dyDescent="0.3">
      <c r="A259" t="s">
        <v>309</v>
      </c>
      <c r="B259" t="s">
        <v>1394</v>
      </c>
      <c r="C259" t="s">
        <v>1393</v>
      </c>
      <c r="D259" t="s">
        <v>43</v>
      </c>
      <c r="E259" t="s">
        <v>1395</v>
      </c>
      <c r="F259" t="s">
        <v>1393</v>
      </c>
      <c r="G259" t="s">
        <v>1395</v>
      </c>
      <c r="H259" t="s">
        <v>1395</v>
      </c>
      <c r="I259" t="s">
        <v>1397</v>
      </c>
      <c r="J259" s="3">
        <f t="shared" ref="J259:J322" si="4">(VLOOKUP(B259,$N$27:$O$36, 2,0)*4+VLOOKUP(C259,$N$27:$O$36, 2,0)*4+VLOOKUP(D259,$N$27:$O$36, 2,0)*2+VLOOKUP(E259,$N$27:$O$36, 2,0)*3+VLOOKUP(F259,$N$27:$O$36, 2,0)*2+VLOOKUP(G259,$N$27:$O$36, 2,0)*2+VLOOKUP(H259,$N$27:$O$36, 2,0)*3+VLOOKUP(I259,$N$27:$O$36, 2,0)*4)/24</f>
        <v>3.4166666666666665</v>
      </c>
    </row>
    <row r="260" spans="1:10" x14ac:dyDescent="0.3">
      <c r="A260" t="s">
        <v>310</v>
      </c>
      <c r="B260" t="s">
        <v>1393</v>
      </c>
      <c r="C260" t="s">
        <v>1394</v>
      </c>
      <c r="D260" t="s">
        <v>1399</v>
      </c>
      <c r="E260" t="s">
        <v>1397</v>
      </c>
      <c r="F260" t="s">
        <v>1394</v>
      </c>
      <c r="G260" t="s">
        <v>1395</v>
      </c>
      <c r="H260" t="s">
        <v>1395</v>
      </c>
      <c r="I260" t="s">
        <v>1397</v>
      </c>
      <c r="J260" s="3">
        <f t="shared" si="4"/>
        <v>3.21875</v>
      </c>
    </row>
    <row r="261" spans="1:10" x14ac:dyDescent="0.3">
      <c r="A261" t="s">
        <v>311</v>
      </c>
      <c r="B261" t="s">
        <v>1396</v>
      </c>
      <c r="C261" t="s">
        <v>1398</v>
      </c>
      <c r="D261" t="s">
        <v>1398</v>
      </c>
      <c r="E261" t="s">
        <v>1396</v>
      </c>
      <c r="F261" t="s">
        <v>1397</v>
      </c>
      <c r="G261" t="s">
        <v>1397</v>
      </c>
      <c r="H261" t="s">
        <v>1398</v>
      </c>
      <c r="I261" t="s">
        <v>1396</v>
      </c>
      <c r="J261" s="3">
        <f t="shared" si="4"/>
        <v>2.7708333333333335</v>
      </c>
    </row>
    <row r="262" spans="1:10" x14ac:dyDescent="0.3">
      <c r="A262" t="s">
        <v>312</v>
      </c>
      <c r="B262" t="s">
        <v>1398</v>
      </c>
      <c r="C262" t="s">
        <v>1397</v>
      </c>
      <c r="D262" t="s">
        <v>43</v>
      </c>
      <c r="E262" t="s">
        <v>1393</v>
      </c>
      <c r="F262" t="s">
        <v>43</v>
      </c>
      <c r="G262" t="s">
        <v>1393</v>
      </c>
      <c r="H262" t="s">
        <v>1398</v>
      </c>
      <c r="I262" t="s">
        <v>1396</v>
      </c>
      <c r="J262" s="3">
        <f t="shared" si="4"/>
        <v>2.8541666666666665</v>
      </c>
    </row>
    <row r="263" spans="1:10" x14ac:dyDescent="0.3">
      <c r="A263" t="s">
        <v>313</v>
      </c>
      <c r="B263" t="s">
        <v>1396</v>
      </c>
      <c r="C263" t="s">
        <v>1399</v>
      </c>
      <c r="D263" t="s">
        <v>1396</v>
      </c>
      <c r="E263" t="s">
        <v>1395</v>
      </c>
      <c r="F263" t="s">
        <v>1398</v>
      </c>
      <c r="G263" t="s">
        <v>43</v>
      </c>
      <c r="H263" t="s">
        <v>1396</v>
      </c>
      <c r="I263" t="s">
        <v>1395</v>
      </c>
      <c r="J263" s="3">
        <f t="shared" si="4"/>
        <v>2.6875</v>
      </c>
    </row>
    <row r="264" spans="1:10" x14ac:dyDescent="0.3">
      <c r="A264" t="s">
        <v>314</v>
      </c>
      <c r="B264" t="s">
        <v>1396</v>
      </c>
      <c r="C264" t="s">
        <v>1396</v>
      </c>
      <c r="D264" t="s">
        <v>1397</v>
      </c>
      <c r="E264" t="s">
        <v>1394</v>
      </c>
      <c r="F264" t="s">
        <v>1395</v>
      </c>
      <c r="G264" t="s">
        <v>1396</v>
      </c>
      <c r="H264" t="s">
        <v>1395</v>
      </c>
      <c r="I264" t="s">
        <v>1395</v>
      </c>
      <c r="J264" s="3">
        <f t="shared" si="4"/>
        <v>3.2604166666666665</v>
      </c>
    </row>
    <row r="265" spans="1:10" x14ac:dyDescent="0.3">
      <c r="A265" t="s">
        <v>315</v>
      </c>
      <c r="B265" t="s">
        <v>1398</v>
      </c>
      <c r="C265" t="s">
        <v>1398</v>
      </c>
      <c r="D265" t="s">
        <v>1396</v>
      </c>
      <c r="E265" t="s">
        <v>1395</v>
      </c>
      <c r="F265" t="s">
        <v>1394</v>
      </c>
      <c r="G265" t="s">
        <v>1395</v>
      </c>
      <c r="H265" t="s">
        <v>1393</v>
      </c>
      <c r="I265" t="s">
        <v>1396</v>
      </c>
      <c r="J265" s="3">
        <f t="shared" si="4"/>
        <v>3.125</v>
      </c>
    </row>
    <row r="266" spans="1:10" x14ac:dyDescent="0.3">
      <c r="A266" t="s">
        <v>316</v>
      </c>
      <c r="B266" t="s">
        <v>1396</v>
      </c>
      <c r="C266" t="s">
        <v>1393</v>
      </c>
      <c r="D266" t="s">
        <v>43</v>
      </c>
      <c r="E266" t="s">
        <v>1395</v>
      </c>
      <c r="F266" t="s">
        <v>1398</v>
      </c>
      <c r="G266" t="s">
        <v>1398</v>
      </c>
      <c r="H266" t="s">
        <v>1399</v>
      </c>
      <c r="I266" t="s">
        <v>1394</v>
      </c>
      <c r="J266" s="3">
        <f t="shared" si="4"/>
        <v>2.9375</v>
      </c>
    </row>
    <row r="267" spans="1:10" x14ac:dyDescent="0.3">
      <c r="A267" t="s">
        <v>317</v>
      </c>
      <c r="B267" t="s">
        <v>1395</v>
      </c>
      <c r="C267" t="s">
        <v>43</v>
      </c>
      <c r="D267" t="s">
        <v>1393</v>
      </c>
      <c r="E267" t="s">
        <v>1393</v>
      </c>
      <c r="F267" t="s">
        <v>1396</v>
      </c>
      <c r="G267" t="s">
        <v>1396</v>
      </c>
      <c r="H267" t="s">
        <v>43</v>
      </c>
      <c r="I267" t="s">
        <v>1398</v>
      </c>
      <c r="J267" s="3">
        <f t="shared" si="4"/>
        <v>2.9166666666666665</v>
      </c>
    </row>
    <row r="268" spans="1:10" x14ac:dyDescent="0.3">
      <c r="A268" t="s">
        <v>318</v>
      </c>
      <c r="B268" t="s">
        <v>1396</v>
      </c>
      <c r="C268" t="s">
        <v>1400</v>
      </c>
      <c r="D268" t="s">
        <v>1396</v>
      </c>
      <c r="E268" t="s">
        <v>1396</v>
      </c>
      <c r="F268" t="s">
        <v>1397</v>
      </c>
      <c r="G268" t="s">
        <v>1395</v>
      </c>
      <c r="H268" t="s">
        <v>1395</v>
      </c>
      <c r="I268" t="s">
        <v>1396</v>
      </c>
      <c r="J268" s="3">
        <f t="shared" si="4"/>
        <v>2.5833333333333335</v>
      </c>
    </row>
    <row r="269" spans="1:10" x14ac:dyDescent="0.3">
      <c r="A269" t="s">
        <v>319</v>
      </c>
      <c r="B269" t="s">
        <v>1395</v>
      </c>
      <c r="C269" t="s">
        <v>1399</v>
      </c>
      <c r="D269" t="s">
        <v>1397</v>
      </c>
      <c r="E269" t="s">
        <v>1396</v>
      </c>
      <c r="F269" t="s">
        <v>1393</v>
      </c>
      <c r="G269" t="s">
        <v>1395</v>
      </c>
      <c r="H269" t="s">
        <v>1395</v>
      </c>
      <c r="I269" t="s">
        <v>1396</v>
      </c>
      <c r="J269" s="3">
        <f t="shared" si="4"/>
        <v>2.9166666666666665</v>
      </c>
    </row>
    <row r="270" spans="1:10" x14ac:dyDescent="0.3">
      <c r="A270" t="s">
        <v>320</v>
      </c>
      <c r="B270" t="s">
        <v>1396</v>
      </c>
      <c r="C270" t="s">
        <v>43</v>
      </c>
      <c r="D270" t="s">
        <v>1399</v>
      </c>
      <c r="E270" t="s">
        <v>1396</v>
      </c>
      <c r="F270" t="s">
        <v>1395</v>
      </c>
      <c r="G270" t="s">
        <v>1396</v>
      </c>
      <c r="H270" t="s">
        <v>1400</v>
      </c>
      <c r="I270" t="s">
        <v>1395</v>
      </c>
      <c r="J270" s="3">
        <f t="shared" si="4"/>
        <v>2.4166666666666665</v>
      </c>
    </row>
    <row r="271" spans="1:10" x14ac:dyDescent="0.3">
      <c r="A271" t="s">
        <v>321</v>
      </c>
      <c r="B271" t="s">
        <v>1396</v>
      </c>
      <c r="C271" t="s">
        <v>1398</v>
      </c>
      <c r="D271" t="s">
        <v>1394</v>
      </c>
      <c r="E271" t="s">
        <v>1395</v>
      </c>
      <c r="F271" t="s">
        <v>1400</v>
      </c>
      <c r="G271" t="s">
        <v>1398</v>
      </c>
      <c r="H271" t="s">
        <v>1396</v>
      </c>
      <c r="I271" t="s">
        <v>1393</v>
      </c>
      <c r="J271" s="3">
        <f t="shared" si="4"/>
        <v>2.9166666666666665</v>
      </c>
    </row>
    <row r="272" spans="1:10" x14ac:dyDescent="0.3">
      <c r="A272" t="s">
        <v>322</v>
      </c>
      <c r="B272" t="s">
        <v>43</v>
      </c>
      <c r="C272" t="s">
        <v>1397</v>
      </c>
      <c r="D272" t="s">
        <v>1398</v>
      </c>
      <c r="E272" t="s">
        <v>1400</v>
      </c>
      <c r="F272" t="s">
        <v>43</v>
      </c>
      <c r="G272" t="s">
        <v>1395</v>
      </c>
      <c r="H272" t="s">
        <v>1394</v>
      </c>
      <c r="I272" t="s">
        <v>1394</v>
      </c>
      <c r="J272" s="3">
        <f t="shared" si="4"/>
        <v>2.5520833333333335</v>
      </c>
    </row>
    <row r="273" spans="1:10" x14ac:dyDescent="0.3">
      <c r="A273" t="s">
        <v>323</v>
      </c>
      <c r="B273" t="s">
        <v>1396</v>
      </c>
      <c r="C273" t="s">
        <v>1396</v>
      </c>
      <c r="D273" t="s">
        <v>1394</v>
      </c>
      <c r="E273" t="s">
        <v>1394</v>
      </c>
      <c r="F273" t="s">
        <v>1397</v>
      </c>
      <c r="G273" t="s">
        <v>1396</v>
      </c>
      <c r="H273" t="s">
        <v>1395</v>
      </c>
      <c r="I273" t="s">
        <v>1400</v>
      </c>
      <c r="J273" s="3">
        <f t="shared" si="4"/>
        <v>2.6979166666666665</v>
      </c>
    </row>
    <row r="274" spans="1:10" x14ac:dyDescent="0.3">
      <c r="A274" t="s">
        <v>324</v>
      </c>
      <c r="B274" t="s">
        <v>1397</v>
      </c>
      <c r="C274" t="s">
        <v>1393</v>
      </c>
      <c r="D274" t="s">
        <v>1395</v>
      </c>
      <c r="E274" t="s">
        <v>1398</v>
      </c>
      <c r="F274" t="s">
        <v>1395</v>
      </c>
      <c r="G274" t="s">
        <v>1397</v>
      </c>
      <c r="H274" t="s">
        <v>1393</v>
      </c>
      <c r="I274" t="s">
        <v>1395</v>
      </c>
      <c r="J274" s="3">
        <f t="shared" si="4"/>
        <v>3.3333333333333335</v>
      </c>
    </row>
    <row r="275" spans="1:10" x14ac:dyDescent="0.3">
      <c r="A275" t="s">
        <v>325</v>
      </c>
      <c r="B275" t="s">
        <v>1398</v>
      </c>
      <c r="C275" t="s">
        <v>1396</v>
      </c>
      <c r="D275" t="s">
        <v>1397</v>
      </c>
      <c r="E275" t="s">
        <v>1394</v>
      </c>
      <c r="F275" t="s">
        <v>1396</v>
      </c>
      <c r="G275" t="s">
        <v>1396</v>
      </c>
      <c r="H275" t="s">
        <v>1394</v>
      </c>
      <c r="I275" t="s">
        <v>1397</v>
      </c>
      <c r="J275" s="3">
        <f t="shared" si="4"/>
        <v>3.0416666666666665</v>
      </c>
    </row>
    <row r="276" spans="1:10" x14ac:dyDescent="0.3">
      <c r="A276" t="s">
        <v>326</v>
      </c>
      <c r="B276" t="s">
        <v>1396</v>
      </c>
      <c r="C276" t="s">
        <v>1400</v>
      </c>
      <c r="D276" t="s">
        <v>1396</v>
      </c>
      <c r="E276" t="s">
        <v>1395</v>
      </c>
      <c r="F276" t="s">
        <v>1393</v>
      </c>
      <c r="G276" t="s">
        <v>1394</v>
      </c>
      <c r="H276" t="s">
        <v>1398</v>
      </c>
      <c r="I276" t="s">
        <v>1393</v>
      </c>
      <c r="J276" s="3">
        <f t="shared" si="4"/>
        <v>2.8125</v>
      </c>
    </row>
    <row r="277" spans="1:10" x14ac:dyDescent="0.3">
      <c r="A277" t="s">
        <v>327</v>
      </c>
      <c r="B277" t="s">
        <v>1393</v>
      </c>
      <c r="C277" t="s">
        <v>1394</v>
      </c>
      <c r="D277" t="s">
        <v>1396</v>
      </c>
      <c r="E277" t="s">
        <v>1398</v>
      </c>
      <c r="F277" t="s">
        <v>1396</v>
      </c>
      <c r="G277" t="s">
        <v>1398</v>
      </c>
      <c r="H277" t="s">
        <v>1393</v>
      </c>
      <c r="I277" t="s">
        <v>1393</v>
      </c>
      <c r="J277" s="3">
        <f t="shared" si="4"/>
        <v>3.4791666666666665</v>
      </c>
    </row>
    <row r="278" spans="1:10" x14ac:dyDescent="0.3">
      <c r="A278" t="s">
        <v>328</v>
      </c>
      <c r="B278" t="s">
        <v>1398</v>
      </c>
      <c r="C278" t="s">
        <v>1395</v>
      </c>
      <c r="D278" t="s">
        <v>1397</v>
      </c>
      <c r="E278" t="s">
        <v>1395</v>
      </c>
      <c r="F278" t="s">
        <v>1394</v>
      </c>
      <c r="G278" t="s">
        <v>1394</v>
      </c>
      <c r="H278" t="s">
        <v>1393</v>
      </c>
      <c r="I278" t="s">
        <v>43</v>
      </c>
      <c r="J278" s="3">
        <f t="shared" si="4"/>
        <v>3.125</v>
      </c>
    </row>
    <row r="279" spans="1:10" x14ac:dyDescent="0.3">
      <c r="A279" t="s">
        <v>329</v>
      </c>
      <c r="B279" t="s">
        <v>1396</v>
      </c>
      <c r="C279" t="s">
        <v>1395</v>
      </c>
      <c r="D279" t="s">
        <v>1395</v>
      </c>
      <c r="E279" t="s">
        <v>1395</v>
      </c>
      <c r="F279" t="s">
        <v>1393</v>
      </c>
      <c r="G279" t="s">
        <v>43</v>
      </c>
      <c r="H279" t="s">
        <v>1396</v>
      </c>
      <c r="I279" t="s">
        <v>1399</v>
      </c>
      <c r="J279" s="3">
        <f t="shared" si="4"/>
        <v>2.8541666666666665</v>
      </c>
    </row>
    <row r="280" spans="1:10" x14ac:dyDescent="0.3">
      <c r="A280" t="s">
        <v>330</v>
      </c>
      <c r="B280" t="s">
        <v>1395</v>
      </c>
      <c r="C280" t="s">
        <v>1396</v>
      </c>
      <c r="D280" t="s">
        <v>1394</v>
      </c>
      <c r="E280" t="s">
        <v>1393</v>
      </c>
      <c r="F280" t="s">
        <v>1399</v>
      </c>
      <c r="G280" t="s">
        <v>43</v>
      </c>
      <c r="H280" t="s">
        <v>1395</v>
      </c>
      <c r="I280" t="s">
        <v>43</v>
      </c>
      <c r="J280" s="3">
        <f t="shared" si="4"/>
        <v>2.9166666666666665</v>
      </c>
    </row>
    <row r="281" spans="1:10" x14ac:dyDescent="0.3">
      <c r="A281" t="s">
        <v>331</v>
      </c>
      <c r="B281" t="s">
        <v>1398</v>
      </c>
      <c r="C281" t="s">
        <v>1395</v>
      </c>
      <c r="D281" t="s">
        <v>1396</v>
      </c>
      <c r="E281" t="s">
        <v>1399</v>
      </c>
      <c r="F281" t="s">
        <v>1396</v>
      </c>
      <c r="G281" t="s">
        <v>1399</v>
      </c>
      <c r="H281" t="s">
        <v>1394</v>
      </c>
      <c r="I281" t="s">
        <v>1395</v>
      </c>
      <c r="J281" s="3">
        <f t="shared" si="4"/>
        <v>2.7604166666666665</v>
      </c>
    </row>
    <row r="282" spans="1:10" x14ac:dyDescent="0.3">
      <c r="A282" t="s">
        <v>332</v>
      </c>
      <c r="B282" t="s">
        <v>1397</v>
      </c>
      <c r="C282" t="s">
        <v>1394</v>
      </c>
      <c r="D282" t="s">
        <v>1395</v>
      </c>
      <c r="E282" t="s">
        <v>43</v>
      </c>
      <c r="F282" t="s">
        <v>1396</v>
      </c>
      <c r="G282" t="s">
        <v>1398</v>
      </c>
      <c r="H282" t="s">
        <v>1394</v>
      </c>
      <c r="I282" t="s">
        <v>1394</v>
      </c>
      <c r="J282" s="3">
        <f t="shared" si="4"/>
        <v>3.1770833333333335</v>
      </c>
    </row>
    <row r="283" spans="1:10" x14ac:dyDescent="0.3">
      <c r="A283" t="s">
        <v>333</v>
      </c>
      <c r="B283" t="s">
        <v>1395</v>
      </c>
      <c r="C283" t="s">
        <v>1394</v>
      </c>
      <c r="D283" t="s">
        <v>1400</v>
      </c>
      <c r="E283" t="s">
        <v>1394</v>
      </c>
      <c r="F283" t="s">
        <v>1396</v>
      </c>
      <c r="G283" t="s">
        <v>1393</v>
      </c>
      <c r="H283" t="s">
        <v>1396</v>
      </c>
      <c r="I283" t="s">
        <v>1395</v>
      </c>
      <c r="J283" s="3">
        <f t="shared" si="4"/>
        <v>3.21875</v>
      </c>
    </row>
    <row r="284" spans="1:10" x14ac:dyDescent="0.3">
      <c r="A284" t="s">
        <v>334</v>
      </c>
      <c r="B284" t="s">
        <v>1395</v>
      </c>
      <c r="C284" t="s">
        <v>1393</v>
      </c>
      <c r="D284" t="s">
        <v>1393</v>
      </c>
      <c r="E284" t="s">
        <v>1398</v>
      </c>
      <c r="F284" t="s">
        <v>1395</v>
      </c>
      <c r="G284" t="s">
        <v>1394</v>
      </c>
      <c r="H284" t="s">
        <v>1394</v>
      </c>
      <c r="I284" t="s">
        <v>1394</v>
      </c>
      <c r="J284" s="3">
        <f t="shared" si="4"/>
        <v>3.59375</v>
      </c>
    </row>
    <row r="285" spans="1:10" x14ac:dyDescent="0.3">
      <c r="A285" t="s">
        <v>335</v>
      </c>
      <c r="B285" t="s">
        <v>1394</v>
      </c>
      <c r="C285" t="s">
        <v>1393</v>
      </c>
      <c r="D285" t="s">
        <v>1397</v>
      </c>
      <c r="E285" t="s">
        <v>1395</v>
      </c>
      <c r="F285" t="s">
        <v>1394</v>
      </c>
      <c r="G285" t="s">
        <v>1397</v>
      </c>
      <c r="H285" t="s">
        <v>1393</v>
      </c>
      <c r="I285" t="s">
        <v>1394</v>
      </c>
      <c r="J285" s="3">
        <f t="shared" si="4"/>
        <v>3.625</v>
      </c>
    </row>
    <row r="286" spans="1:10" x14ac:dyDescent="0.3">
      <c r="A286" t="s">
        <v>336</v>
      </c>
      <c r="B286" t="s">
        <v>1398</v>
      </c>
      <c r="C286" t="s">
        <v>1393</v>
      </c>
      <c r="D286" t="s">
        <v>1395</v>
      </c>
      <c r="E286" t="s">
        <v>1398</v>
      </c>
      <c r="F286" t="s">
        <v>1398</v>
      </c>
      <c r="G286" t="s">
        <v>1394</v>
      </c>
      <c r="H286" t="s">
        <v>1395</v>
      </c>
      <c r="I286" t="s">
        <v>1397</v>
      </c>
      <c r="J286" s="3">
        <f t="shared" si="4"/>
        <v>3.1041666666666665</v>
      </c>
    </row>
    <row r="287" spans="1:10" x14ac:dyDescent="0.3">
      <c r="A287" t="s">
        <v>337</v>
      </c>
      <c r="B287" t="s">
        <v>1395</v>
      </c>
      <c r="C287" t="s">
        <v>1399</v>
      </c>
      <c r="D287" t="s">
        <v>1394</v>
      </c>
      <c r="E287" t="s">
        <v>1399</v>
      </c>
      <c r="F287" t="s">
        <v>1396</v>
      </c>
      <c r="G287" t="s">
        <v>1394</v>
      </c>
      <c r="H287" t="s">
        <v>1396</v>
      </c>
      <c r="I287" t="s">
        <v>1393</v>
      </c>
      <c r="J287" s="3">
        <f t="shared" si="4"/>
        <v>2.7916666666666665</v>
      </c>
    </row>
    <row r="288" spans="1:10" x14ac:dyDescent="0.3">
      <c r="A288" t="s">
        <v>338</v>
      </c>
      <c r="B288" t="s">
        <v>1397</v>
      </c>
      <c r="C288" t="s">
        <v>1394</v>
      </c>
      <c r="D288" t="s">
        <v>43</v>
      </c>
      <c r="E288" t="s">
        <v>1396</v>
      </c>
      <c r="F288" t="s">
        <v>1395</v>
      </c>
      <c r="G288" t="s">
        <v>1394</v>
      </c>
      <c r="H288" t="s">
        <v>1396</v>
      </c>
      <c r="I288" t="s">
        <v>1394</v>
      </c>
      <c r="J288" s="3">
        <f t="shared" si="4"/>
        <v>3.2291666666666665</v>
      </c>
    </row>
    <row r="289" spans="1:10" x14ac:dyDescent="0.3">
      <c r="A289" t="s">
        <v>339</v>
      </c>
      <c r="B289" t="s">
        <v>43</v>
      </c>
      <c r="C289" t="s">
        <v>1393</v>
      </c>
      <c r="D289" t="s">
        <v>1396</v>
      </c>
      <c r="E289" t="s">
        <v>1396</v>
      </c>
      <c r="F289" t="s">
        <v>1394</v>
      </c>
      <c r="G289" t="s">
        <v>1398</v>
      </c>
      <c r="H289" t="s">
        <v>1395</v>
      </c>
      <c r="I289" t="s">
        <v>1397</v>
      </c>
      <c r="J289" s="3">
        <f t="shared" si="4"/>
        <v>3.0416666666666665</v>
      </c>
    </row>
    <row r="290" spans="1:10" x14ac:dyDescent="0.3">
      <c r="A290" t="s">
        <v>340</v>
      </c>
      <c r="B290" t="s">
        <v>1396</v>
      </c>
      <c r="C290" t="s">
        <v>1395</v>
      </c>
      <c r="D290" t="s">
        <v>1395</v>
      </c>
      <c r="E290" t="s">
        <v>1393</v>
      </c>
      <c r="F290" t="s">
        <v>1394</v>
      </c>
      <c r="G290" t="s">
        <v>43</v>
      </c>
      <c r="H290" t="s">
        <v>1395</v>
      </c>
      <c r="I290" t="s">
        <v>1397</v>
      </c>
      <c r="J290" s="3">
        <f t="shared" si="4"/>
        <v>3.25</v>
      </c>
    </row>
    <row r="291" spans="1:10" x14ac:dyDescent="0.3">
      <c r="A291" t="s">
        <v>341</v>
      </c>
      <c r="B291" t="s">
        <v>1393</v>
      </c>
      <c r="C291" t="s">
        <v>1396</v>
      </c>
      <c r="D291" t="s">
        <v>1395</v>
      </c>
      <c r="E291" t="s">
        <v>1396</v>
      </c>
      <c r="F291" t="s">
        <v>1394</v>
      </c>
      <c r="G291" t="s">
        <v>1393</v>
      </c>
      <c r="H291" t="s">
        <v>1395</v>
      </c>
      <c r="I291" t="s">
        <v>1394</v>
      </c>
      <c r="J291" s="3">
        <f t="shared" si="4"/>
        <v>3.5416666666666665</v>
      </c>
    </row>
    <row r="292" spans="1:10" x14ac:dyDescent="0.3">
      <c r="A292" t="s">
        <v>342</v>
      </c>
      <c r="B292" t="s">
        <v>1393</v>
      </c>
      <c r="C292" t="s">
        <v>1397</v>
      </c>
      <c r="D292" t="s">
        <v>1394</v>
      </c>
      <c r="E292" t="s">
        <v>1395</v>
      </c>
      <c r="F292" t="s">
        <v>43</v>
      </c>
      <c r="G292" t="s">
        <v>1398</v>
      </c>
      <c r="H292" t="s">
        <v>43</v>
      </c>
      <c r="I292" t="s">
        <v>43</v>
      </c>
      <c r="J292" s="3">
        <f t="shared" si="4"/>
        <v>2.8333333333333335</v>
      </c>
    </row>
    <row r="293" spans="1:10" x14ac:dyDescent="0.3">
      <c r="A293" t="s">
        <v>343</v>
      </c>
      <c r="B293" t="s">
        <v>1393</v>
      </c>
      <c r="C293" t="s">
        <v>1394</v>
      </c>
      <c r="D293" t="s">
        <v>1393</v>
      </c>
      <c r="E293" t="s">
        <v>1397</v>
      </c>
      <c r="F293" t="s">
        <v>1397</v>
      </c>
      <c r="G293" t="s">
        <v>1395</v>
      </c>
      <c r="H293" t="s">
        <v>1395</v>
      </c>
      <c r="I293" t="s">
        <v>1397</v>
      </c>
      <c r="J293" s="3">
        <f t="shared" si="4"/>
        <v>3.3854166666666665</v>
      </c>
    </row>
    <row r="294" spans="1:10" x14ac:dyDescent="0.3">
      <c r="A294" t="s">
        <v>344</v>
      </c>
      <c r="B294" t="s">
        <v>1397</v>
      </c>
      <c r="C294" t="s">
        <v>1394</v>
      </c>
      <c r="D294" t="s">
        <v>1398</v>
      </c>
      <c r="E294" t="s">
        <v>1395</v>
      </c>
      <c r="F294" t="s">
        <v>1396</v>
      </c>
      <c r="G294" t="s">
        <v>1394</v>
      </c>
      <c r="H294" t="s">
        <v>1393</v>
      </c>
      <c r="I294" t="s">
        <v>43</v>
      </c>
      <c r="J294" s="3">
        <f t="shared" si="4"/>
        <v>3.125</v>
      </c>
    </row>
    <row r="295" spans="1:10" x14ac:dyDescent="0.3">
      <c r="A295" t="s">
        <v>345</v>
      </c>
      <c r="B295" t="s">
        <v>1397</v>
      </c>
      <c r="C295" t="s">
        <v>1397</v>
      </c>
      <c r="D295" t="s">
        <v>1393</v>
      </c>
      <c r="E295" t="s">
        <v>1393</v>
      </c>
      <c r="F295" t="s">
        <v>1394</v>
      </c>
      <c r="G295" t="s">
        <v>1394</v>
      </c>
      <c r="H295" t="s">
        <v>1395</v>
      </c>
      <c r="I295" t="s">
        <v>1395</v>
      </c>
      <c r="J295" s="3">
        <f t="shared" si="4"/>
        <v>3.3958333333333335</v>
      </c>
    </row>
    <row r="296" spans="1:10" x14ac:dyDescent="0.3">
      <c r="A296" t="s">
        <v>346</v>
      </c>
      <c r="B296" t="s">
        <v>1393</v>
      </c>
      <c r="C296" t="s">
        <v>1395</v>
      </c>
      <c r="D296" t="s">
        <v>1397</v>
      </c>
      <c r="E296" t="s">
        <v>1394</v>
      </c>
      <c r="F296" t="s">
        <v>1398</v>
      </c>
      <c r="G296" t="s">
        <v>1396</v>
      </c>
      <c r="H296" t="s">
        <v>1397</v>
      </c>
      <c r="I296" t="s">
        <v>1394</v>
      </c>
      <c r="J296" s="3">
        <f t="shared" si="4"/>
        <v>3.375</v>
      </c>
    </row>
    <row r="297" spans="1:10" x14ac:dyDescent="0.3">
      <c r="A297" t="s">
        <v>347</v>
      </c>
      <c r="B297" t="s">
        <v>1395</v>
      </c>
      <c r="C297" t="s">
        <v>1397</v>
      </c>
      <c r="D297" t="s">
        <v>1395</v>
      </c>
      <c r="E297" t="s">
        <v>1393</v>
      </c>
      <c r="F297" t="s">
        <v>1398</v>
      </c>
      <c r="G297" t="s">
        <v>1398</v>
      </c>
      <c r="H297" t="s">
        <v>1394</v>
      </c>
      <c r="I297" t="s">
        <v>1393</v>
      </c>
      <c r="J297" s="3">
        <f t="shared" si="4"/>
        <v>3.3854166666666665</v>
      </c>
    </row>
    <row r="298" spans="1:10" x14ac:dyDescent="0.3">
      <c r="A298" t="s">
        <v>348</v>
      </c>
      <c r="B298" t="s">
        <v>43</v>
      </c>
      <c r="C298" t="s">
        <v>1396</v>
      </c>
      <c r="D298" t="s">
        <v>1393</v>
      </c>
      <c r="E298" t="s">
        <v>1394</v>
      </c>
      <c r="F298" t="s">
        <v>1393</v>
      </c>
      <c r="G298" t="s">
        <v>1398</v>
      </c>
      <c r="H298" t="s">
        <v>1394</v>
      </c>
      <c r="I298" t="s">
        <v>43</v>
      </c>
      <c r="J298" s="3">
        <f t="shared" si="4"/>
        <v>2.9791666666666665</v>
      </c>
    </row>
    <row r="299" spans="1:10" x14ac:dyDescent="0.3">
      <c r="A299" t="s">
        <v>349</v>
      </c>
      <c r="B299" t="s">
        <v>1397</v>
      </c>
      <c r="C299" t="s">
        <v>1393</v>
      </c>
      <c r="D299" t="s">
        <v>1397</v>
      </c>
      <c r="E299" t="s">
        <v>1395</v>
      </c>
      <c r="F299" t="s">
        <v>1397</v>
      </c>
      <c r="G299" t="s">
        <v>1398</v>
      </c>
      <c r="H299" t="s">
        <v>1394</v>
      </c>
      <c r="I299" t="s">
        <v>1393</v>
      </c>
      <c r="J299" s="3">
        <f t="shared" si="4"/>
        <v>3.3645833333333335</v>
      </c>
    </row>
    <row r="300" spans="1:10" x14ac:dyDescent="0.3">
      <c r="A300" t="s">
        <v>350</v>
      </c>
      <c r="B300" t="s">
        <v>1399</v>
      </c>
      <c r="C300" t="s">
        <v>1395</v>
      </c>
      <c r="D300" t="s">
        <v>1399</v>
      </c>
      <c r="E300" t="s">
        <v>1397</v>
      </c>
      <c r="F300" t="s">
        <v>1397</v>
      </c>
      <c r="G300" t="s">
        <v>1398</v>
      </c>
      <c r="H300" t="s">
        <v>1396</v>
      </c>
      <c r="I300" t="s">
        <v>1396</v>
      </c>
      <c r="J300" s="3">
        <f t="shared" si="4"/>
        <v>2.4895833333333335</v>
      </c>
    </row>
    <row r="301" spans="1:10" x14ac:dyDescent="0.3">
      <c r="A301" t="s">
        <v>351</v>
      </c>
      <c r="B301" t="s">
        <v>1393</v>
      </c>
      <c r="C301" t="s">
        <v>1397</v>
      </c>
      <c r="D301" t="s">
        <v>1395</v>
      </c>
      <c r="E301" t="s">
        <v>1396</v>
      </c>
      <c r="F301" t="s">
        <v>43</v>
      </c>
      <c r="G301" t="s">
        <v>1393</v>
      </c>
      <c r="H301" t="s">
        <v>1398</v>
      </c>
      <c r="I301" t="s">
        <v>1393</v>
      </c>
      <c r="J301" s="3">
        <f t="shared" si="4"/>
        <v>3.2708333333333335</v>
      </c>
    </row>
    <row r="302" spans="1:10" x14ac:dyDescent="0.3">
      <c r="A302" t="s">
        <v>352</v>
      </c>
      <c r="B302" t="s">
        <v>1397</v>
      </c>
      <c r="C302" t="s">
        <v>1398</v>
      </c>
      <c r="D302" t="s">
        <v>1394</v>
      </c>
      <c r="E302" t="s">
        <v>1396</v>
      </c>
      <c r="F302" t="s">
        <v>1399</v>
      </c>
      <c r="G302" t="s">
        <v>1397</v>
      </c>
      <c r="H302" t="s">
        <v>1396</v>
      </c>
      <c r="I302" t="s">
        <v>1394</v>
      </c>
      <c r="J302" s="3">
        <f t="shared" si="4"/>
        <v>2.875</v>
      </c>
    </row>
    <row r="303" spans="1:10" x14ac:dyDescent="0.3">
      <c r="A303" t="s">
        <v>353</v>
      </c>
      <c r="B303" t="s">
        <v>1393</v>
      </c>
      <c r="C303" t="s">
        <v>1395</v>
      </c>
      <c r="D303" t="s">
        <v>1395</v>
      </c>
      <c r="E303" t="s">
        <v>1394</v>
      </c>
      <c r="F303" t="s">
        <v>1395</v>
      </c>
      <c r="G303" t="s">
        <v>1393</v>
      </c>
      <c r="H303" t="s">
        <v>1397</v>
      </c>
      <c r="I303" t="s">
        <v>1397</v>
      </c>
      <c r="J303" s="3">
        <f t="shared" si="4"/>
        <v>3.4375</v>
      </c>
    </row>
    <row r="304" spans="1:10" x14ac:dyDescent="0.3">
      <c r="A304" t="s">
        <v>354</v>
      </c>
      <c r="B304" t="s">
        <v>1394</v>
      </c>
      <c r="C304" t="s">
        <v>1394</v>
      </c>
      <c r="D304" t="s">
        <v>1396</v>
      </c>
      <c r="E304" t="s">
        <v>1395</v>
      </c>
      <c r="F304" t="s">
        <v>1399</v>
      </c>
      <c r="G304" t="s">
        <v>1395</v>
      </c>
      <c r="H304" t="s">
        <v>1394</v>
      </c>
      <c r="I304" t="s">
        <v>43</v>
      </c>
      <c r="J304" s="3">
        <f t="shared" si="4"/>
        <v>3.1145833333333335</v>
      </c>
    </row>
    <row r="305" spans="1:10" x14ac:dyDescent="0.3">
      <c r="A305" t="s">
        <v>355</v>
      </c>
      <c r="B305" t="s">
        <v>1393</v>
      </c>
      <c r="C305" t="s">
        <v>1396</v>
      </c>
      <c r="D305" t="s">
        <v>1395</v>
      </c>
      <c r="E305" t="s">
        <v>1398</v>
      </c>
      <c r="F305" t="s">
        <v>1396</v>
      </c>
      <c r="G305" t="s">
        <v>1398</v>
      </c>
      <c r="H305" t="s">
        <v>1394</v>
      </c>
      <c r="I305" t="s">
        <v>1397</v>
      </c>
      <c r="J305" s="3">
        <f t="shared" si="4"/>
        <v>3.15625</v>
      </c>
    </row>
    <row r="306" spans="1:10" x14ac:dyDescent="0.3">
      <c r="A306" t="s">
        <v>356</v>
      </c>
      <c r="B306" t="s">
        <v>1396</v>
      </c>
      <c r="C306" t="s">
        <v>1396</v>
      </c>
      <c r="D306" t="s">
        <v>1398</v>
      </c>
      <c r="E306" t="s">
        <v>1398</v>
      </c>
      <c r="F306" t="s">
        <v>1393</v>
      </c>
      <c r="G306" t="s">
        <v>1394</v>
      </c>
      <c r="H306" t="s">
        <v>1395</v>
      </c>
      <c r="I306" t="s">
        <v>1394</v>
      </c>
      <c r="J306" s="3">
        <f t="shared" si="4"/>
        <v>3.2291666666666665</v>
      </c>
    </row>
    <row r="307" spans="1:10" x14ac:dyDescent="0.3">
      <c r="A307" t="s">
        <v>357</v>
      </c>
      <c r="B307" t="s">
        <v>1393</v>
      </c>
      <c r="C307" t="s">
        <v>1394</v>
      </c>
      <c r="D307" t="s">
        <v>1394</v>
      </c>
      <c r="E307" t="s">
        <v>1397</v>
      </c>
      <c r="F307" t="s">
        <v>1395</v>
      </c>
      <c r="G307" t="s">
        <v>1393</v>
      </c>
      <c r="H307" t="s">
        <v>1395</v>
      </c>
      <c r="I307" t="s">
        <v>1396</v>
      </c>
      <c r="J307" s="3">
        <f t="shared" si="4"/>
        <v>3.5104166666666665</v>
      </c>
    </row>
    <row r="308" spans="1:10" x14ac:dyDescent="0.3">
      <c r="A308" t="s">
        <v>358</v>
      </c>
      <c r="B308" t="s">
        <v>1395</v>
      </c>
      <c r="C308" t="s">
        <v>1394</v>
      </c>
      <c r="D308" t="s">
        <v>1393</v>
      </c>
      <c r="E308" t="s">
        <v>1393</v>
      </c>
      <c r="F308" t="s">
        <v>1400</v>
      </c>
      <c r="G308" t="s">
        <v>1398</v>
      </c>
      <c r="H308" t="s">
        <v>1393</v>
      </c>
      <c r="I308" t="s">
        <v>1397</v>
      </c>
      <c r="J308" s="3">
        <f t="shared" si="4"/>
        <v>3.2083333333333335</v>
      </c>
    </row>
    <row r="309" spans="1:10" x14ac:dyDescent="0.3">
      <c r="A309" t="s">
        <v>359</v>
      </c>
      <c r="B309" t="s">
        <v>1400</v>
      </c>
      <c r="C309" t="s">
        <v>1396</v>
      </c>
      <c r="D309" t="s">
        <v>1393</v>
      </c>
      <c r="E309" t="s">
        <v>1396</v>
      </c>
      <c r="F309" t="s">
        <v>1395</v>
      </c>
      <c r="G309" t="s">
        <v>1394</v>
      </c>
      <c r="H309" t="s">
        <v>1396</v>
      </c>
      <c r="I309" t="s">
        <v>1393</v>
      </c>
      <c r="J309" s="3">
        <f t="shared" si="4"/>
        <v>2.8541666666666665</v>
      </c>
    </row>
    <row r="310" spans="1:10" x14ac:dyDescent="0.3">
      <c r="A310" t="s">
        <v>360</v>
      </c>
      <c r="B310" t="s">
        <v>43</v>
      </c>
      <c r="C310" t="s">
        <v>1397</v>
      </c>
      <c r="D310" t="s">
        <v>1396</v>
      </c>
      <c r="E310" t="s">
        <v>1399</v>
      </c>
      <c r="F310" t="s">
        <v>1397</v>
      </c>
      <c r="G310" t="s">
        <v>1394</v>
      </c>
      <c r="H310" t="s">
        <v>1394</v>
      </c>
      <c r="I310" t="s">
        <v>1393</v>
      </c>
      <c r="J310" s="3">
        <f t="shared" si="4"/>
        <v>2.84375</v>
      </c>
    </row>
    <row r="311" spans="1:10" x14ac:dyDescent="0.3">
      <c r="A311" t="s">
        <v>361</v>
      </c>
      <c r="B311" t="s">
        <v>1393</v>
      </c>
      <c r="C311" t="s">
        <v>1398</v>
      </c>
      <c r="D311" t="s">
        <v>1398</v>
      </c>
      <c r="E311" t="s">
        <v>1394</v>
      </c>
      <c r="F311" t="s">
        <v>1394</v>
      </c>
      <c r="G311" t="s">
        <v>1397</v>
      </c>
      <c r="H311" t="s">
        <v>1398</v>
      </c>
      <c r="I311" t="s">
        <v>43</v>
      </c>
      <c r="J311" s="3">
        <f t="shared" si="4"/>
        <v>2.9479166666666665</v>
      </c>
    </row>
    <row r="312" spans="1:10" x14ac:dyDescent="0.3">
      <c r="A312" t="s">
        <v>362</v>
      </c>
      <c r="B312" t="s">
        <v>1394</v>
      </c>
      <c r="C312" t="s">
        <v>1398</v>
      </c>
      <c r="D312" t="s">
        <v>1398</v>
      </c>
      <c r="E312" t="s">
        <v>1397</v>
      </c>
      <c r="F312" t="s">
        <v>1395</v>
      </c>
      <c r="G312" t="s">
        <v>1394</v>
      </c>
      <c r="H312" t="s">
        <v>1398</v>
      </c>
      <c r="I312" t="s">
        <v>1395</v>
      </c>
      <c r="J312" s="3">
        <f t="shared" si="4"/>
        <v>3.09375</v>
      </c>
    </row>
    <row r="313" spans="1:10" x14ac:dyDescent="0.3">
      <c r="A313" t="s">
        <v>363</v>
      </c>
      <c r="B313" t="s">
        <v>1395</v>
      </c>
      <c r="C313" t="s">
        <v>1396</v>
      </c>
      <c r="D313" t="s">
        <v>1395</v>
      </c>
      <c r="E313" t="s">
        <v>1398</v>
      </c>
      <c r="F313" t="s">
        <v>1394</v>
      </c>
      <c r="G313" t="s">
        <v>1393</v>
      </c>
      <c r="H313" t="s">
        <v>1396</v>
      </c>
      <c r="I313" t="s">
        <v>1396</v>
      </c>
      <c r="J313" s="3">
        <f t="shared" si="4"/>
        <v>3.2083333333333335</v>
      </c>
    </row>
    <row r="314" spans="1:10" x14ac:dyDescent="0.3">
      <c r="A314" t="s">
        <v>364</v>
      </c>
      <c r="B314" t="s">
        <v>1398</v>
      </c>
      <c r="C314" t="s">
        <v>1397</v>
      </c>
      <c r="D314" t="s">
        <v>43</v>
      </c>
      <c r="E314" t="s">
        <v>1399</v>
      </c>
      <c r="F314" t="s">
        <v>1396</v>
      </c>
      <c r="G314" t="s">
        <v>1396</v>
      </c>
      <c r="H314" t="s">
        <v>1394</v>
      </c>
      <c r="I314" t="s">
        <v>1394</v>
      </c>
      <c r="J314" s="3">
        <f t="shared" si="4"/>
        <v>2.7604166666666665</v>
      </c>
    </row>
    <row r="315" spans="1:10" x14ac:dyDescent="0.3">
      <c r="A315" t="s">
        <v>365</v>
      </c>
      <c r="B315" t="s">
        <v>1396</v>
      </c>
      <c r="C315" t="s">
        <v>1393</v>
      </c>
      <c r="D315" t="s">
        <v>1397</v>
      </c>
      <c r="E315" t="s">
        <v>1394</v>
      </c>
      <c r="F315" t="s">
        <v>1395</v>
      </c>
      <c r="G315" t="s">
        <v>1399</v>
      </c>
      <c r="H315" t="s">
        <v>1393</v>
      </c>
      <c r="I315" t="s">
        <v>1393</v>
      </c>
      <c r="J315" s="3">
        <f t="shared" si="4"/>
        <v>3.40625</v>
      </c>
    </row>
    <row r="316" spans="1:10" x14ac:dyDescent="0.3">
      <c r="A316" t="s">
        <v>366</v>
      </c>
      <c r="B316" t="s">
        <v>1395</v>
      </c>
      <c r="C316" t="s">
        <v>1394</v>
      </c>
      <c r="D316" t="s">
        <v>1397</v>
      </c>
      <c r="E316" t="s">
        <v>1393</v>
      </c>
      <c r="F316" t="s">
        <v>1398</v>
      </c>
      <c r="G316" t="s">
        <v>43</v>
      </c>
      <c r="H316" t="s">
        <v>1398</v>
      </c>
      <c r="I316" t="s">
        <v>1395</v>
      </c>
      <c r="J316" s="3">
        <f t="shared" si="4"/>
        <v>3.2083333333333335</v>
      </c>
    </row>
    <row r="317" spans="1:10" x14ac:dyDescent="0.3">
      <c r="A317" t="s">
        <v>367</v>
      </c>
      <c r="B317" t="s">
        <v>1394</v>
      </c>
      <c r="C317" t="s">
        <v>1397</v>
      </c>
      <c r="D317" t="s">
        <v>1396</v>
      </c>
      <c r="E317" t="s">
        <v>1395</v>
      </c>
      <c r="F317" t="s">
        <v>1395</v>
      </c>
      <c r="G317" t="s">
        <v>1395</v>
      </c>
      <c r="H317" t="s">
        <v>1397</v>
      </c>
      <c r="I317" t="s">
        <v>1398</v>
      </c>
      <c r="J317" s="3">
        <f t="shared" si="4"/>
        <v>3.1145833333333335</v>
      </c>
    </row>
    <row r="318" spans="1:10" x14ac:dyDescent="0.3">
      <c r="A318" t="s">
        <v>368</v>
      </c>
      <c r="B318" t="s">
        <v>43</v>
      </c>
      <c r="C318" t="s">
        <v>1394</v>
      </c>
      <c r="D318" t="s">
        <v>1394</v>
      </c>
      <c r="E318" t="s">
        <v>1395</v>
      </c>
      <c r="F318" t="s">
        <v>1396</v>
      </c>
      <c r="G318" t="s">
        <v>1395</v>
      </c>
      <c r="H318" t="s">
        <v>1394</v>
      </c>
      <c r="I318" t="s">
        <v>1393</v>
      </c>
      <c r="J318" s="3">
        <f t="shared" si="4"/>
        <v>3.3854166666666665</v>
      </c>
    </row>
    <row r="319" spans="1:10" x14ac:dyDescent="0.3">
      <c r="A319" t="s">
        <v>369</v>
      </c>
      <c r="B319" t="s">
        <v>1395</v>
      </c>
      <c r="C319" t="s">
        <v>1396</v>
      </c>
      <c r="D319" t="s">
        <v>1400</v>
      </c>
      <c r="E319" t="s">
        <v>43</v>
      </c>
      <c r="F319" t="s">
        <v>43</v>
      </c>
      <c r="G319" t="s">
        <v>1400</v>
      </c>
      <c r="H319" t="s">
        <v>1399</v>
      </c>
      <c r="I319" t="s">
        <v>1396</v>
      </c>
      <c r="J319" s="3">
        <f t="shared" si="4"/>
        <v>2.125</v>
      </c>
    </row>
    <row r="320" spans="1:10" x14ac:dyDescent="0.3">
      <c r="A320" t="s">
        <v>370</v>
      </c>
      <c r="B320" t="s">
        <v>1398</v>
      </c>
      <c r="C320" t="s">
        <v>1393</v>
      </c>
      <c r="D320" t="s">
        <v>1397</v>
      </c>
      <c r="E320" t="s">
        <v>1396</v>
      </c>
      <c r="F320" t="s">
        <v>1394</v>
      </c>
      <c r="G320" t="s">
        <v>1396</v>
      </c>
      <c r="H320" t="s">
        <v>1399</v>
      </c>
      <c r="I320" t="s">
        <v>1396</v>
      </c>
      <c r="J320" s="3">
        <f t="shared" si="4"/>
        <v>2.875</v>
      </c>
    </row>
    <row r="321" spans="1:10" x14ac:dyDescent="0.3">
      <c r="A321" t="s">
        <v>371</v>
      </c>
      <c r="B321" t="s">
        <v>1397</v>
      </c>
      <c r="C321" t="s">
        <v>1394</v>
      </c>
      <c r="D321" t="s">
        <v>1395</v>
      </c>
      <c r="E321" t="s">
        <v>43</v>
      </c>
      <c r="F321" t="s">
        <v>1393</v>
      </c>
      <c r="G321" t="s">
        <v>1394</v>
      </c>
      <c r="H321" t="s">
        <v>1397</v>
      </c>
      <c r="I321" t="s">
        <v>1395</v>
      </c>
      <c r="J321" s="3">
        <f t="shared" si="4"/>
        <v>3.1979166666666665</v>
      </c>
    </row>
    <row r="322" spans="1:10" x14ac:dyDescent="0.3">
      <c r="A322" t="s">
        <v>372</v>
      </c>
      <c r="B322" t="s">
        <v>1393</v>
      </c>
      <c r="C322" t="s">
        <v>1397</v>
      </c>
      <c r="D322" t="s">
        <v>1395</v>
      </c>
      <c r="E322" t="s">
        <v>1396</v>
      </c>
      <c r="F322" t="s">
        <v>1395</v>
      </c>
      <c r="G322" t="s">
        <v>1396</v>
      </c>
      <c r="H322" t="s">
        <v>1396</v>
      </c>
      <c r="I322" t="s">
        <v>1395</v>
      </c>
      <c r="J322" s="3">
        <f t="shared" si="4"/>
        <v>3.2916666666666665</v>
      </c>
    </row>
    <row r="323" spans="1:10" x14ac:dyDescent="0.3">
      <c r="A323" t="s">
        <v>373</v>
      </c>
      <c r="B323" t="s">
        <v>1393</v>
      </c>
      <c r="C323" t="s">
        <v>1394</v>
      </c>
      <c r="D323" t="s">
        <v>43</v>
      </c>
      <c r="E323" t="s">
        <v>1396</v>
      </c>
      <c r="F323" t="s">
        <v>1393</v>
      </c>
      <c r="G323" t="s">
        <v>43</v>
      </c>
      <c r="H323" t="s">
        <v>1394</v>
      </c>
      <c r="I323" t="s">
        <v>1393</v>
      </c>
      <c r="J323" s="3">
        <f t="shared" ref="J323:J386" si="5">(VLOOKUP(B323,$N$27:$O$36, 2,0)*4+VLOOKUP(C323,$N$27:$O$36, 2,0)*4+VLOOKUP(D323,$N$27:$O$36, 2,0)*2+VLOOKUP(E323,$N$27:$O$36, 2,0)*3+VLOOKUP(F323,$N$27:$O$36, 2,0)*2+VLOOKUP(G323,$N$27:$O$36, 2,0)*2+VLOOKUP(H323,$N$27:$O$36, 2,0)*3+VLOOKUP(I323,$N$27:$O$36, 2,0)*4)/24</f>
        <v>3.46875</v>
      </c>
    </row>
    <row r="324" spans="1:10" x14ac:dyDescent="0.3">
      <c r="A324" t="s">
        <v>374</v>
      </c>
      <c r="B324" t="s">
        <v>1396</v>
      </c>
      <c r="C324" t="s">
        <v>1394</v>
      </c>
      <c r="D324" t="s">
        <v>1396</v>
      </c>
      <c r="E324" t="s">
        <v>1396</v>
      </c>
      <c r="F324" t="s">
        <v>1394</v>
      </c>
      <c r="G324" t="s">
        <v>1396</v>
      </c>
      <c r="H324" t="s">
        <v>1393</v>
      </c>
      <c r="I324" t="s">
        <v>1396</v>
      </c>
      <c r="J324" s="3">
        <f t="shared" si="5"/>
        <v>3.3125</v>
      </c>
    </row>
    <row r="325" spans="1:10" x14ac:dyDescent="0.3">
      <c r="A325" t="s">
        <v>375</v>
      </c>
      <c r="B325" t="s">
        <v>1396</v>
      </c>
      <c r="C325" t="s">
        <v>1393</v>
      </c>
      <c r="D325" t="s">
        <v>1395</v>
      </c>
      <c r="E325" t="s">
        <v>1393</v>
      </c>
      <c r="F325" t="s">
        <v>1395</v>
      </c>
      <c r="G325" t="s">
        <v>43</v>
      </c>
      <c r="H325" t="s">
        <v>1396</v>
      </c>
      <c r="I325" t="s">
        <v>1397</v>
      </c>
      <c r="J325" s="3">
        <f t="shared" si="5"/>
        <v>3.25</v>
      </c>
    </row>
    <row r="326" spans="1:10" x14ac:dyDescent="0.3">
      <c r="A326" t="s">
        <v>376</v>
      </c>
      <c r="B326" t="s">
        <v>1398</v>
      </c>
      <c r="C326" t="s">
        <v>1393</v>
      </c>
      <c r="D326" t="s">
        <v>1400</v>
      </c>
      <c r="E326" t="s">
        <v>1397</v>
      </c>
      <c r="F326" t="s">
        <v>1393</v>
      </c>
      <c r="G326" t="s">
        <v>1398</v>
      </c>
      <c r="H326" t="s">
        <v>1395</v>
      </c>
      <c r="I326" t="s">
        <v>1394</v>
      </c>
      <c r="J326" s="3">
        <f t="shared" si="5"/>
        <v>3.03125</v>
      </c>
    </row>
    <row r="327" spans="1:10" x14ac:dyDescent="0.3">
      <c r="A327" t="s">
        <v>377</v>
      </c>
      <c r="B327" t="s">
        <v>1399</v>
      </c>
      <c r="C327" t="s">
        <v>1396</v>
      </c>
      <c r="D327" t="s">
        <v>1398</v>
      </c>
      <c r="E327" t="s">
        <v>1393</v>
      </c>
      <c r="F327" t="s">
        <v>1398</v>
      </c>
      <c r="G327" t="s">
        <v>1393</v>
      </c>
      <c r="H327" t="s">
        <v>1394</v>
      </c>
      <c r="I327" t="s">
        <v>1395</v>
      </c>
      <c r="J327" s="3">
        <f t="shared" si="5"/>
        <v>2.96875</v>
      </c>
    </row>
    <row r="328" spans="1:10" x14ac:dyDescent="0.3">
      <c r="A328" t="s">
        <v>378</v>
      </c>
      <c r="B328" t="s">
        <v>1393</v>
      </c>
      <c r="C328" t="s">
        <v>1396</v>
      </c>
      <c r="D328" t="s">
        <v>1394</v>
      </c>
      <c r="E328" t="s">
        <v>1394</v>
      </c>
      <c r="F328" t="s">
        <v>1397</v>
      </c>
      <c r="G328" t="s">
        <v>1395</v>
      </c>
      <c r="H328" t="s">
        <v>43</v>
      </c>
      <c r="I328" t="s">
        <v>1396</v>
      </c>
      <c r="J328" s="3">
        <f t="shared" si="5"/>
        <v>3.21875</v>
      </c>
    </row>
    <row r="329" spans="1:10" x14ac:dyDescent="0.3">
      <c r="A329" t="s">
        <v>379</v>
      </c>
      <c r="B329" t="s">
        <v>43</v>
      </c>
      <c r="C329" t="s">
        <v>1396</v>
      </c>
      <c r="D329" t="s">
        <v>43</v>
      </c>
      <c r="E329" t="s">
        <v>43</v>
      </c>
      <c r="F329" t="s">
        <v>1394</v>
      </c>
      <c r="G329" t="s">
        <v>1397</v>
      </c>
      <c r="H329" t="s">
        <v>1395</v>
      </c>
      <c r="I329" t="s">
        <v>1398</v>
      </c>
      <c r="J329" s="3">
        <f t="shared" si="5"/>
        <v>2.6458333333333335</v>
      </c>
    </row>
    <row r="330" spans="1:10" x14ac:dyDescent="0.3">
      <c r="A330" t="s">
        <v>380</v>
      </c>
      <c r="B330" t="s">
        <v>1397</v>
      </c>
      <c r="C330" t="s">
        <v>1398</v>
      </c>
      <c r="D330" t="s">
        <v>1393</v>
      </c>
      <c r="E330" t="s">
        <v>1395</v>
      </c>
      <c r="F330" t="s">
        <v>1397</v>
      </c>
      <c r="G330" t="s">
        <v>1399</v>
      </c>
      <c r="H330" t="s">
        <v>1397</v>
      </c>
      <c r="I330" t="s">
        <v>1393</v>
      </c>
      <c r="J330" s="3">
        <f t="shared" si="5"/>
        <v>2.96875</v>
      </c>
    </row>
    <row r="331" spans="1:10" x14ac:dyDescent="0.3">
      <c r="A331" t="s">
        <v>381</v>
      </c>
      <c r="B331" t="s">
        <v>1396</v>
      </c>
      <c r="C331" t="s">
        <v>1393</v>
      </c>
      <c r="D331" t="s">
        <v>1396</v>
      </c>
      <c r="E331" t="s">
        <v>1398</v>
      </c>
      <c r="F331" t="s">
        <v>1393</v>
      </c>
      <c r="G331" t="s">
        <v>43</v>
      </c>
      <c r="H331" t="s">
        <v>1397</v>
      </c>
      <c r="I331" t="s">
        <v>1394</v>
      </c>
      <c r="J331" s="3">
        <f t="shared" si="5"/>
        <v>3.1979166666666665</v>
      </c>
    </row>
    <row r="332" spans="1:10" x14ac:dyDescent="0.3">
      <c r="A332" t="s">
        <v>382</v>
      </c>
      <c r="B332" t="s">
        <v>1394</v>
      </c>
      <c r="C332" t="s">
        <v>1395</v>
      </c>
      <c r="D332" t="s">
        <v>1398</v>
      </c>
      <c r="E332" t="s">
        <v>1396</v>
      </c>
      <c r="F332" t="s">
        <v>1393</v>
      </c>
      <c r="G332" t="s">
        <v>1393</v>
      </c>
      <c r="H332" t="s">
        <v>1393</v>
      </c>
      <c r="I332" t="s">
        <v>1398</v>
      </c>
      <c r="J332" s="3">
        <f t="shared" si="5"/>
        <v>3.375</v>
      </c>
    </row>
    <row r="333" spans="1:10" x14ac:dyDescent="0.3">
      <c r="A333" t="s">
        <v>383</v>
      </c>
      <c r="B333" t="s">
        <v>1394</v>
      </c>
      <c r="C333" t="s">
        <v>1396</v>
      </c>
      <c r="D333" t="s">
        <v>1394</v>
      </c>
      <c r="E333" t="s">
        <v>1397</v>
      </c>
      <c r="F333" t="s">
        <v>1395</v>
      </c>
      <c r="G333" t="s">
        <v>1393</v>
      </c>
      <c r="H333" t="s">
        <v>43</v>
      </c>
      <c r="I333" t="s">
        <v>1396</v>
      </c>
      <c r="J333" s="3">
        <f t="shared" si="5"/>
        <v>3.15625</v>
      </c>
    </row>
    <row r="334" spans="1:10" x14ac:dyDescent="0.3">
      <c r="A334" t="s">
        <v>384</v>
      </c>
      <c r="B334" t="s">
        <v>1397</v>
      </c>
      <c r="C334" t="s">
        <v>1398</v>
      </c>
      <c r="D334" t="s">
        <v>1399</v>
      </c>
      <c r="E334" t="s">
        <v>1393</v>
      </c>
      <c r="F334" t="s">
        <v>1395</v>
      </c>
      <c r="G334" t="s">
        <v>1394</v>
      </c>
      <c r="H334" t="s">
        <v>1396</v>
      </c>
      <c r="I334" t="s">
        <v>43</v>
      </c>
      <c r="J334" s="3">
        <f t="shared" si="5"/>
        <v>2.7708333333333335</v>
      </c>
    </row>
    <row r="335" spans="1:10" x14ac:dyDescent="0.3">
      <c r="A335" t="s">
        <v>385</v>
      </c>
      <c r="B335" t="s">
        <v>1398</v>
      </c>
      <c r="C335" t="s">
        <v>1393</v>
      </c>
      <c r="D335" t="s">
        <v>1394</v>
      </c>
      <c r="E335" t="s">
        <v>1398</v>
      </c>
      <c r="F335" t="s">
        <v>1397</v>
      </c>
      <c r="G335" t="s">
        <v>1395</v>
      </c>
      <c r="H335" t="s">
        <v>1396</v>
      </c>
      <c r="I335" t="s">
        <v>1394</v>
      </c>
      <c r="J335" s="3">
        <f t="shared" si="5"/>
        <v>3.2291666666666665</v>
      </c>
    </row>
    <row r="336" spans="1:10" x14ac:dyDescent="0.3">
      <c r="A336" t="s">
        <v>386</v>
      </c>
      <c r="B336" t="s">
        <v>1398</v>
      </c>
      <c r="C336" t="s">
        <v>1395</v>
      </c>
      <c r="D336" t="s">
        <v>43</v>
      </c>
      <c r="E336" t="s">
        <v>1396</v>
      </c>
      <c r="F336" t="s">
        <v>1393</v>
      </c>
      <c r="G336" t="s">
        <v>1395</v>
      </c>
      <c r="H336" t="s">
        <v>1394</v>
      </c>
      <c r="I336" t="s">
        <v>43</v>
      </c>
      <c r="J336" s="3">
        <f t="shared" si="5"/>
        <v>2.96875</v>
      </c>
    </row>
    <row r="337" spans="1:10" x14ac:dyDescent="0.3">
      <c r="A337" t="s">
        <v>387</v>
      </c>
      <c r="B337" t="s">
        <v>1396</v>
      </c>
      <c r="C337" t="s">
        <v>1393</v>
      </c>
      <c r="D337" t="s">
        <v>1394</v>
      </c>
      <c r="E337" t="s">
        <v>1395</v>
      </c>
      <c r="F337" t="s">
        <v>1396</v>
      </c>
      <c r="G337" t="s">
        <v>1396</v>
      </c>
      <c r="H337" t="s">
        <v>1395</v>
      </c>
      <c r="I337" t="s">
        <v>1395</v>
      </c>
      <c r="J337" s="3">
        <f t="shared" si="5"/>
        <v>3.4375</v>
      </c>
    </row>
    <row r="338" spans="1:10" x14ac:dyDescent="0.3">
      <c r="A338" t="s">
        <v>388</v>
      </c>
      <c r="B338" t="s">
        <v>1393</v>
      </c>
      <c r="C338" t="s">
        <v>1396</v>
      </c>
      <c r="D338" t="s">
        <v>1395</v>
      </c>
      <c r="E338" t="s">
        <v>1393</v>
      </c>
      <c r="F338" t="s">
        <v>1396</v>
      </c>
      <c r="G338" t="s">
        <v>1400</v>
      </c>
      <c r="H338" t="s">
        <v>1393</v>
      </c>
      <c r="I338" t="s">
        <v>1393</v>
      </c>
      <c r="J338" s="3">
        <f t="shared" si="5"/>
        <v>3.375</v>
      </c>
    </row>
    <row r="339" spans="1:10" x14ac:dyDescent="0.3">
      <c r="A339" t="s">
        <v>389</v>
      </c>
      <c r="B339" t="s">
        <v>1397</v>
      </c>
      <c r="C339" t="s">
        <v>1394</v>
      </c>
      <c r="D339" t="s">
        <v>1394</v>
      </c>
      <c r="E339" t="s">
        <v>1396</v>
      </c>
      <c r="F339" t="s">
        <v>1394</v>
      </c>
      <c r="G339" t="s">
        <v>1396</v>
      </c>
      <c r="H339" t="s">
        <v>1396</v>
      </c>
      <c r="I339" t="s">
        <v>1399</v>
      </c>
      <c r="J339" s="3">
        <f t="shared" si="5"/>
        <v>2.875</v>
      </c>
    </row>
    <row r="340" spans="1:10" x14ac:dyDescent="0.3">
      <c r="A340" t="s">
        <v>390</v>
      </c>
      <c r="B340" t="s">
        <v>1400</v>
      </c>
      <c r="C340" t="s">
        <v>1393</v>
      </c>
      <c r="D340" t="s">
        <v>1396</v>
      </c>
      <c r="E340" t="s">
        <v>1398</v>
      </c>
      <c r="F340" t="s">
        <v>43</v>
      </c>
      <c r="G340" t="s">
        <v>1398</v>
      </c>
      <c r="H340" t="s">
        <v>1397</v>
      </c>
      <c r="I340" t="s">
        <v>1397</v>
      </c>
      <c r="J340" s="3">
        <f t="shared" si="5"/>
        <v>2.40625</v>
      </c>
    </row>
    <row r="341" spans="1:10" x14ac:dyDescent="0.3">
      <c r="A341" t="s">
        <v>391</v>
      </c>
      <c r="B341" t="s">
        <v>1395</v>
      </c>
      <c r="C341" t="s">
        <v>1394</v>
      </c>
      <c r="D341" t="s">
        <v>1398</v>
      </c>
      <c r="E341" t="s">
        <v>43</v>
      </c>
      <c r="F341" t="s">
        <v>1399</v>
      </c>
      <c r="G341" t="s">
        <v>1397</v>
      </c>
      <c r="H341" t="s">
        <v>1395</v>
      </c>
      <c r="I341" t="s">
        <v>1398</v>
      </c>
      <c r="J341" s="3">
        <f t="shared" si="5"/>
        <v>2.8333333333333335</v>
      </c>
    </row>
    <row r="342" spans="1:10" x14ac:dyDescent="0.3">
      <c r="A342" t="s">
        <v>392</v>
      </c>
      <c r="B342" t="s">
        <v>1397</v>
      </c>
      <c r="C342" t="s">
        <v>1396</v>
      </c>
      <c r="D342" t="s">
        <v>1397</v>
      </c>
      <c r="E342" t="s">
        <v>1395</v>
      </c>
      <c r="F342" t="s">
        <v>1396</v>
      </c>
      <c r="G342" t="s">
        <v>1395</v>
      </c>
      <c r="H342" t="s">
        <v>1393</v>
      </c>
      <c r="I342" t="s">
        <v>1395</v>
      </c>
      <c r="J342" s="3">
        <f t="shared" si="5"/>
        <v>3.25</v>
      </c>
    </row>
    <row r="343" spans="1:10" x14ac:dyDescent="0.3">
      <c r="A343" t="s">
        <v>393</v>
      </c>
      <c r="B343" t="s">
        <v>1395</v>
      </c>
      <c r="C343" t="s">
        <v>1400</v>
      </c>
      <c r="D343" t="s">
        <v>1396</v>
      </c>
      <c r="E343" t="s">
        <v>1395</v>
      </c>
      <c r="F343" t="s">
        <v>1394</v>
      </c>
      <c r="G343" t="s">
        <v>1394</v>
      </c>
      <c r="H343" t="s">
        <v>1395</v>
      </c>
      <c r="I343" t="s">
        <v>1393</v>
      </c>
      <c r="J343" s="3">
        <f t="shared" si="5"/>
        <v>3</v>
      </c>
    </row>
    <row r="344" spans="1:10" x14ac:dyDescent="0.3">
      <c r="A344" t="s">
        <v>394</v>
      </c>
      <c r="B344" t="s">
        <v>1393</v>
      </c>
      <c r="C344" t="s">
        <v>43</v>
      </c>
      <c r="D344" t="s">
        <v>1396</v>
      </c>
      <c r="E344" t="s">
        <v>1395</v>
      </c>
      <c r="F344" t="s">
        <v>1396</v>
      </c>
      <c r="G344" t="s">
        <v>1395</v>
      </c>
      <c r="H344" t="s">
        <v>1394</v>
      </c>
      <c r="I344" t="s">
        <v>1393</v>
      </c>
      <c r="J344" s="3">
        <f t="shared" si="5"/>
        <v>3.3645833333333335</v>
      </c>
    </row>
    <row r="345" spans="1:10" x14ac:dyDescent="0.3">
      <c r="A345" t="s">
        <v>395</v>
      </c>
      <c r="B345" t="s">
        <v>1395</v>
      </c>
      <c r="C345" t="s">
        <v>1395</v>
      </c>
      <c r="D345" t="s">
        <v>1397</v>
      </c>
      <c r="E345" t="s">
        <v>1396</v>
      </c>
      <c r="F345" t="s">
        <v>1399</v>
      </c>
      <c r="G345" t="s">
        <v>1395</v>
      </c>
      <c r="H345" t="s">
        <v>43</v>
      </c>
      <c r="I345" t="s">
        <v>1396</v>
      </c>
      <c r="J345" s="3">
        <f t="shared" si="5"/>
        <v>2.8958333333333335</v>
      </c>
    </row>
    <row r="346" spans="1:10" x14ac:dyDescent="0.3">
      <c r="A346" t="s">
        <v>396</v>
      </c>
      <c r="B346" t="s">
        <v>1393</v>
      </c>
      <c r="C346" t="s">
        <v>1394</v>
      </c>
      <c r="D346" t="s">
        <v>1396</v>
      </c>
      <c r="E346" t="s">
        <v>1400</v>
      </c>
      <c r="F346" t="s">
        <v>1395</v>
      </c>
      <c r="G346" t="s">
        <v>1398</v>
      </c>
      <c r="H346" t="s">
        <v>1395</v>
      </c>
      <c r="I346" t="s">
        <v>43</v>
      </c>
      <c r="J346" s="3">
        <f t="shared" si="5"/>
        <v>2.8125</v>
      </c>
    </row>
    <row r="347" spans="1:10" x14ac:dyDescent="0.3">
      <c r="A347" t="s">
        <v>397</v>
      </c>
      <c r="B347" t="s">
        <v>1393</v>
      </c>
      <c r="C347" t="s">
        <v>1396</v>
      </c>
      <c r="D347" t="s">
        <v>43</v>
      </c>
      <c r="E347" t="s">
        <v>1394</v>
      </c>
      <c r="F347" t="s">
        <v>1394</v>
      </c>
      <c r="G347" t="s">
        <v>1393</v>
      </c>
      <c r="H347" t="s">
        <v>1394</v>
      </c>
      <c r="I347" t="s">
        <v>1394</v>
      </c>
      <c r="J347" s="3">
        <f t="shared" si="5"/>
        <v>3.5416666666666665</v>
      </c>
    </row>
    <row r="348" spans="1:10" x14ac:dyDescent="0.3">
      <c r="A348" t="s">
        <v>398</v>
      </c>
      <c r="B348" t="s">
        <v>1397</v>
      </c>
      <c r="C348" t="s">
        <v>1394</v>
      </c>
      <c r="D348" t="s">
        <v>1395</v>
      </c>
      <c r="E348" t="s">
        <v>1394</v>
      </c>
      <c r="F348" t="s">
        <v>1396</v>
      </c>
      <c r="G348" t="s">
        <v>43</v>
      </c>
      <c r="H348" t="s">
        <v>1397</v>
      </c>
      <c r="I348" t="s">
        <v>1394</v>
      </c>
      <c r="J348" s="3">
        <f t="shared" si="5"/>
        <v>3.2291666666666665</v>
      </c>
    </row>
    <row r="349" spans="1:10" x14ac:dyDescent="0.3">
      <c r="A349" t="s">
        <v>399</v>
      </c>
      <c r="B349" t="s">
        <v>1397</v>
      </c>
      <c r="C349" t="s">
        <v>1399</v>
      </c>
      <c r="D349" t="s">
        <v>1396</v>
      </c>
      <c r="E349" t="s">
        <v>1393</v>
      </c>
      <c r="F349" t="s">
        <v>1398</v>
      </c>
      <c r="G349" t="s">
        <v>43</v>
      </c>
      <c r="H349" t="s">
        <v>1395</v>
      </c>
      <c r="I349" t="s">
        <v>1393</v>
      </c>
      <c r="J349" s="3">
        <f t="shared" si="5"/>
        <v>2.8541666666666665</v>
      </c>
    </row>
    <row r="350" spans="1:10" x14ac:dyDescent="0.3">
      <c r="A350" t="s">
        <v>400</v>
      </c>
      <c r="B350" t="s">
        <v>1394</v>
      </c>
      <c r="C350" t="s">
        <v>1396</v>
      </c>
      <c r="D350" t="s">
        <v>43</v>
      </c>
      <c r="E350" t="s">
        <v>1397</v>
      </c>
      <c r="F350" t="s">
        <v>43</v>
      </c>
      <c r="G350" t="s">
        <v>1394</v>
      </c>
      <c r="H350" t="s">
        <v>1395</v>
      </c>
      <c r="I350" t="s">
        <v>1397</v>
      </c>
      <c r="J350" s="3">
        <f t="shared" si="5"/>
        <v>3.0104166666666665</v>
      </c>
    </row>
    <row r="351" spans="1:10" x14ac:dyDescent="0.3">
      <c r="A351" t="s">
        <v>401</v>
      </c>
      <c r="B351" t="s">
        <v>1397</v>
      </c>
      <c r="C351" t="s">
        <v>1395</v>
      </c>
      <c r="D351" t="s">
        <v>1397</v>
      </c>
      <c r="E351" t="s">
        <v>1395</v>
      </c>
      <c r="F351" t="s">
        <v>1393</v>
      </c>
      <c r="G351" t="s">
        <v>1395</v>
      </c>
      <c r="H351" t="s">
        <v>1393</v>
      </c>
      <c r="I351" t="s">
        <v>1396</v>
      </c>
      <c r="J351" s="3">
        <f t="shared" si="5"/>
        <v>3.3333333333333335</v>
      </c>
    </row>
    <row r="352" spans="1:10" x14ac:dyDescent="0.3">
      <c r="A352" t="s">
        <v>402</v>
      </c>
      <c r="B352" t="s">
        <v>1395</v>
      </c>
      <c r="C352" t="s">
        <v>1396</v>
      </c>
      <c r="D352" t="s">
        <v>1396</v>
      </c>
      <c r="E352" t="s">
        <v>1394</v>
      </c>
      <c r="F352" t="s">
        <v>1396</v>
      </c>
      <c r="G352" t="s">
        <v>1393</v>
      </c>
      <c r="H352" t="s">
        <v>43</v>
      </c>
      <c r="I352" t="s">
        <v>1396</v>
      </c>
      <c r="J352" s="3">
        <f t="shared" si="5"/>
        <v>3.1354166666666665</v>
      </c>
    </row>
    <row r="353" spans="1:10" x14ac:dyDescent="0.3">
      <c r="A353" t="s">
        <v>403</v>
      </c>
      <c r="B353" t="s">
        <v>1400</v>
      </c>
      <c r="C353" t="s">
        <v>1393</v>
      </c>
      <c r="D353" t="s">
        <v>1396</v>
      </c>
      <c r="E353" t="s">
        <v>1397</v>
      </c>
      <c r="F353" t="s">
        <v>1395</v>
      </c>
      <c r="G353" t="s">
        <v>1393</v>
      </c>
      <c r="H353" t="s">
        <v>1394</v>
      </c>
      <c r="I353" t="s">
        <v>1393</v>
      </c>
      <c r="J353" s="3">
        <f t="shared" si="5"/>
        <v>3.0208333333333335</v>
      </c>
    </row>
    <row r="354" spans="1:10" x14ac:dyDescent="0.3">
      <c r="A354" t="s">
        <v>404</v>
      </c>
      <c r="B354" t="s">
        <v>1398</v>
      </c>
      <c r="C354" t="s">
        <v>1393</v>
      </c>
      <c r="D354" t="s">
        <v>1398</v>
      </c>
      <c r="E354" t="s">
        <v>1395</v>
      </c>
      <c r="F354" t="s">
        <v>1396</v>
      </c>
      <c r="G354" t="s">
        <v>1396</v>
      </c>
      <c r="H354" t="s">
        <v>1396</v>
      </c>
      <c r="I354" t="s">
        <v>1397</v>
      </c>
      <c r="J354" s="3">
        <f t="shared" si="5"/>
        <v>3.0625</v>
      </c>
    </row>
    <row r="355" spans="1:10" x14ac:dyDescent="0.3">
      <c r="A355" t="s">
        <v>405</v>
      </c>
      <c r="B355" t="s">
        <v>1396</v>
      </c>
      <c r="C355" t="s">
        <v>1395</v>
      </c>
      <c r="D355" t="s">
        <v>1397</v>
      </c>
      <c r="E355" t="s">
        <v>1394</v>
      </c>
      <c r="F355" t="s">
        <v>1397</v>
      </c>
      <c r="G355" t="s">
        <v>1398</v>
      </c>
      <c r="H355" t="s">
        <v>1398</v>
      </c>
      <c r="I355" t="s">
        <v>1395</v>
      </c>
      <c r="J355" s="3">
        <f t="shared" si="5"/>
        <v>3.1145833333333335</v>
      </c>
    </row>
    <row r="356" spans="1:10" x14ac:dyDescent="0.3">
      <c r="A356" t="s">
        <v>406</v>
      </c>
      <c r="B356" t="s">
        <v>1398</v>
      </c>
      <c r="C356" t="s">
        <v>1400</v>
      </c>
      <c r="D356" t="s">
        <v>1396</v>
      </c>
      <c r="E356" t="s">
        <v>1394</v>
      </c>
      <c r="F356" t="s">
        <v>1396</v>
      </c>
      <c r="G356" t="s">
        <v>1399</v>
      </c>
      <c r="H356" t="s">
        <v>1393</v>
      </c>
      <c r="I356" t="s">
        <v>1393</v>
      </c>
      <c r="J356" s="3">
        <f t="shared" si="5"/>
        <v>2.6354166666666665</v>
      </c>
    </row>
    <row r="357" spans="1:10" x14ac:dyDescent="0.3">
      <c r="A357" t="s">
        <v>407</v>
      </c>
      <c r="B357" t="s">
        <v>1396</v>
      </c>
      <c r="C357" t="s">
        <v>1397</v>
      </c>
      <c r="D357" t="s">
        <v>1398</v>
      </c>
      <c r="E357" t="s">
        <v>1395</v>
      </c>
      <c r="F357" t="s">
        <v>1400</v>
      </c>
      <c r="G357" t="s">
        <v>1394</v>
      </c>
      <c r="H357" t="s">
        <v>1398</v>
      </c>
      <c r="I357" t="s">
        <v>1393</v>
      </c>
      <c r="J357" s="3">
        <f t="shared" si="5"/>
        <v>2.8958333333333335</v>
      </c>
    </row>
    <row r="358" spans="1:10" x14ac:dyDescent="0.3">
      <c r="A358" t="s">
        <v>408</v>
      </c>
      <c r="B358" t="s">
        <v>1393</v>
      </c>
      <c r="C358" t="s">
        <v>1393</v>
      </c>
      <c r="D358" t="s">
        <v>1393</v>
      </c>
      <c r="E358" t="s">
        <v>1396</v>
      </c>
      <c r="F358" t="s">
        <v>1396</v>
      </c>
      <c r="G358" t="s">
        <v>1394</v>
      </c>
      <c r="H358" t="s">
        <v>1399</v>
      </c>
      <c r="I358" t="s">
        <v>1395</v>
      </c>
      <c r="J358" s="3">
        <f t="shared" si="5"/>
        <v>3.3125</v>
      </c>
    </row>
    <row r="359" spans="1:10" x14ac:dyDescent="0.3">
      <c r="A359" t="s">
        <v>409</v>
      </c>
      <c r="B359" t="s">
        <v>1393</v>
      </c>
      <c r="C359" t="s">
        <v>1394</v>
      </c>
      <c r="D359" t="s">
        <v>1397</v>
      </c>
      <c r="E359" t="s">
        <v>43</v>
      </c>
      <c r="F359" t="s">
        <v>1394</v>
      </c>
      <c r="G359" t="s">
        <v>1393</v>
      </c>
      <c r="H359" t="s">
        <v>1398</v>
      </c>
      <c r="I359" t="s">
        <v>1394</v>
      </c>
      <c r="J359" s="3">
        <f t="shared" si="5"/>
        <v>3.3541666666666665</v>
      </c>
    </row>
    <row r="360" spans="1:10" x14ac:dyDescent="0.3">
      <c r="A360" t="s">
        <v>410</v>
      </c>
      <c r="B360" t="s">
        <v>1400</v>
      </c>
      <c r="C360" t="s">
        <v>1396</v>
      </c>
      <c r="D360" t="s">
        <v>1397</v>
      </c>
      <c r="E360" t="s">
        <v>1395</v>
      </c>
      <c r="F360" t="s">
        <v>1398</v>
      </c>
      <c r="G360" t="s">
        <v>1396</v>
      </c>
      <c r="H360" t="s">
        <v>1395</v>
      </c>
      <c r="I360" t="s">
        <v>43</v>
      </c>
      <c r="J360" s="3">
        <f t="shared" si="5"/>
        <v>2.3958333333333335</v>
      </c>
    </row>
    <row r="361" spans="1:10" x14ac:dyDescent="0.3">
      <c r="A361" t="s">
        <v>411</v>
      </c>
      <c r="B361" t="s">
        <v>1393</v>
      </c>
      <c r="C361" t="s">
        <v>1397</v>
      </c>
      <c r="D361" t="s">
        <v>1393</v>
      </c>
      <c r="E361" t="s">
        <v>1397</v>
      </c>
      <c r="F361" t="s">
        <v>1395</v>
      </c>
      <c r="G361" t="s">
        <v>43</v>
      </c>
      <c r="H361" t="s">
        <v>1393</v>
      </c>
      <c r="I361" t="s">
        <v>1396</v>
      </c>
      <c r="J361" s="3">
        <f t="shared" si="5"/>
        <v>3.2604166666666665</v>
      </c>
    </row>
    <row r="362" spans="1:10" x14ac:dyDescent="0.3">
      <c r="A362" t="s">
        <v>412</v>
      </c>
      <c r="B362" t="s">
        <v>1395</v>
      </c>
      <c r="C362" t="s">
        <v>43</v>
      </c>
      <c r="D362" t="s">
        <v>1399</v>
      </c>
      <c r="E362" t="s">
        <v>1396</v>
      </c>
      <c r="F362" t="s">
        <v>1394</v>
      </c>
      <c r="G362" t="s">
        <v>1394</v>
      </c>
      <c r="H362" t="s">
        <v>1394</v>
      </c>
      <c r="I362" t="s">
        <v>1395</v>
      </c>
      <c r="J362" s="3">
        <f t="shared" si="5"/>
        <v>3.0520833333333335</v>
      </c>
    </row>
    <row r="363" spans="1:10" x14ac:dyDescent="0.3">
      <c r="A363" t="s">
        <v>413</v>
      </c>
      <c r="B363" t="s">
        <v>1394</v>
      </c>
      <c r="C363" t="s">
        <v>1394</v>
      </c>
      <c r="D363" t="s">
        <v>1398</v>
      </c>
      <c r="E363" t="s">
        <v>1397</v>
      </c>
      <c r="F363" t="s">
        <v>1394</v>
      </c>
      <c r="G363" t="s">
        <v>1400</v>
      </c>
      <c r="H363" t="s">
        <v>1394</v>
      </c>
      <c r="I363" t="s">
        <v>1396</v>
      </c>
      <c r="J363" s="3">
        <f t="shared" si="5"/>
        <v>3.0833333333333335</v>
      </c>
    </row>
    <row r="364" spans="1:10" x14ac:dyDescent="0.3">
      <c r="A364" t="s">
        <v>414</v>
      </c>
      <c r="B364" t="s">
        <v>1394</v>
      </c>
      <c r="C364" t="s">
        <v>43</v>
      </c>
      <c r="D364" t="s">
        <v>43</v>
      </c>
      <c r="E364" t="s">
        <v>1394</v>
      </c>
      <c r="F364" t="s">
        <v>1398</v>
      </c>
      <c r="G364" t="s">
        <v>1398</v>
      </c>
      <c r="H364" t="s">
        <v>1394</v>
      </c>
      <c r="I364" t="s">
        <v>1395</v>
      </c>
      <c r="J364" s="3">
        <f t="shared" si="5"/>
        <v>3.0625</v>
      </c>
    </row>
    <row r="365" spans="1:10" x14ac:dyDescent="0.3">
      <c r="A365" t="s">
        <v>415</v>
      </c>
      <c r="B365" t="s">
        <v>1396</v>
      </c>
      <c r="C365" t="s">
        <v>43</v>
      </c>
      <c r="D365" t="s">
        <v>1394</v>
      </c>
      <c r="E365" t="s">
        <v>1397</v>
      </c>
      <c r="F365" t="s">
        <v>1396</v>
      </c>
      <c r="G365" t="s">
        <v>1396</v>
      </c>
      <c r="H365" t="s">
        <v>1396</v>
      </c>
      <c r="I365" t="s">
        <v>43</v>
      </c>
      <c r="J365" s="3">
        <f t="shared" si="5"/>
        <v>2.6979166666666665</v>
      </c>
    </row>
    <row r="366" spans="1:10" x14ac:dyDescent="0.3">
      <c r="A366" t="s">
        <v>416</v>
      </c>
      <c r="B366" t="s">
        <v>1394</v>
      </c>
      <c r="C366" t="s">
        <v>43</v>
      </c>
      <c r="D366" t="s">
        <v>1395</v>
      </c>
      <c r="E366" t="s">
        <v>1398</v>
      </c>
      <c r="F366" t="s">
        <v>43</v>
      </c>
      <c r="G366" t="s">
        <v>1394</v>
      </c>
      <c r="H366" t="s">
        <v>43</v>
      </c>
      <c r="I366" t="s">
        <v>1400</v>
      </c>
      <c r="J366" s="3">
        <f t="shared" si="5"/>
        <v>2.2916666666666665</v>
      </c>
    </row>
    <row r="367" spans="1:10" x14ac:dyDescent="0.3">
      <c r="A367" t="s">
        <v>417</v>
      </c>
      <c r="B367" t="s">
        <v>1394</v>
      </c>
      <c r="C367" t="s">
        <v>1393</v>
      </c>
      <c r="D367" t="s">
        <v>1393</v>
      </c>
      <c r="E367" t="s">
        <v>1400</v>
      </c>
      <c r="F367" t="s">
        <v>1393</v>
      </c>
      <c r="G367" t="s">
        <v>43</v>
      </c>
      <c r="H367" t="s">
        <v>1394</v>
      </c>
      <c r="I367" t="s">
        <v>1397</v>
      </c>
      <c r="J367" s="3">
        <f t="shared" si="5"/>
        <v>3.0520833333333335</v>
      </c>
    </row>
    <row r="368" spans="1:10" x14ac:dyDescent="0.3">
      <c r="A368" t="s">
        <v>418</v>
      </c>
      <c r="B368" t="s">
        <v>1393</v>
      </c>
      <c r="C368" t="s">
        <v>1394</v>
      </c>
      <c r="D368" t="s">
        <v>1397</v>
      </c>
      <c r="E368" t="s">
        <v>1393</v>
      </c>
      <c r="F368" t="s">
        <v>1395</v>
      </c>
      <c r="G368" t="s">
        <v>43</v>
      </c>
      <c r="H368" t="s">
        <v>1397</v>
      </c>
      <c r="I368" t="s">
        <v>43</v>
      </c>
      <c r="J368" s="3">
        <f t="shared" si="5"/>
        <v>3.15625</v>
      </c>
    </row>
    <row r="369" spans="1:10" x14ac:dyDescent="0.3">
      <c r="A369" t="s">
        <v>419</v>
      </c>
      <c r="B369" t="s">
        <v>1400</v>
      </c>
      <c r="C369" t="s">
        <v>1393</v>
      </c>
      <c r="D369" t="s">
        <v>1394</v>
      </c>
      <c r="E369" t="s">
        <v>1398</v>
      </c>
      <c r="F369" t="s">
        <v>1397</v>
      </c>
      <c r="G369" t="s">
        <v>1393</v>
      </c>
      <c r="H369" t="s">
        <v>1396</v>
      </c>
      <c r="I369" t="s">
        <v>1394</v>
      </c>
      <c r="J369" s="3">
        <f t="shared" si="5"/>
        <v>2.8541666666666665</v>
      </c>
    </row>
    <row r="370" spans="1:10" x14ac:dyDescent="0.3">
      <c r="A370" t="s">
        <v>420</v>
      </c>
      <c r="B370" t="s">
        <v>1395</v>
      </c>
      <c r="C370" t="s">
        <v>1393</v>
      </c>
      <c r="D370" t="s">
        <v>1393</v>
      </c>
      <c r="E370" t="s">
        <v>1400</v>
      </c>
      <c r="F370" t="s">
        <v>1395</v>
      </c>
      <c r="G370" t="s">
        <v>43</v>
      </c>
      <c r="H370" t="s">
        <v>1393</v>
      </c>
      <c r="I370" t="s">
        <v>1396</v>
      </c>
      <c r="J370" s="3">
        <f t="shared" si="5"/>
        <v>3.0416666666666665</v>
      </c>
    </row>
    <row r="371" spans="1:10" x14ac:dyDescent="0.3">
      <c r="A371" t="s">
        <v>421</v>
      </c>
      <c r="B371" t="s">
        <v>1393</v>
      </c>
      <c r="C371" t="s">
        <v>1395</v>
      </c>
      <c r="D371" t="s">
        <v>1394</v>
      </c>
      <c r="E371" t="s">
        <v>1397</v>
      </c>
      <c r="F371" t="s">
        <v>1393</v>
      </c>
      <c r="G371" t="s">
        <v>1397</v>
      </c>
      <c r="H371" t="s">
        <v>1396</v>
      </c>
      <c r="I371" t="s">
        <v>1393</v>
      </c>
      <c r="J371" s="3">
        <f t="shared" si="5"/>
        <v>3.5104166666666665</v>
      </c>
    </row>
    <row r="372" spans="1:10" x14ac:dyDescent="0.3">
      <c r="A372" t="s">
        <v>422</v>
      </c>
      <c r="B372" t="s">
        <v>1395</v>
      </c>
      <c r="C372" t="s">
        <v>1396</v>
      </c>
      <c r="D372" t="s">
        <v>43</v>
      </c>
      <c r="E372" t="s">
        <v>1395</v>
      </c>
      <c r="F372" t="s">
        <v>1394</v>
      </c>
      <c r="G372" t="s">
        <v>1399</v>
      </c>
      <c r="H372" t="s">
        <v>43</v>
      </c>
      <c r="I372" t="s">
        <v>1397</v>
      </c>
      <c r="J372" s="3">
        <f t="shared" si="5"/>
        <v>2.7916666666666665</v>
      </c>
    </row>
    <row r="373" spans="1:10" x14ac:dyDescent="0.3">
      <c r="A373" t="s">
        <v>423</v>
      </c>
      <c r="B373" t="s">
        <v>1394</v>
      </c>
      <c r="C373" t="s">
        <v>1394</v>
      </c>
      <c r="D373" t="s">
        <v>1394</v>
      </c>
      <c r="E373" t="s">
        <v>1393</v>
      </c>
      <c r="F373" t="s">
        <v>1393</v>
      </c>
      <c r="G373" t="s">
        <v>1396</v>
      </c>
      <c r="H373" t="s">
        <v>1395</v>
      </c>
      <c r="I373" t="s">
        <v>1396</v>
      </c>
      <c r="J373" s="3">
        <f t="shared" si="5"/>
        <v>3.5833333333333335</v>
      </c>
    </row>
    <row r="374" spans="1:10" x14ac:dyDescent="0.3">
      <c r="A374" t="s">
        <v>424</v>
      </c>
      <c r="B374" t="s">
        <v>1395</v>
      </c>
      <c r="C374" t="s">
        <v>1393</v>
      </c>
      <c r="D374" t="s">
        <v>1397</v>
      </c>
      <c r="E374" t="s">
        <v>1397</v>
      </c>
      <c r="F374" t="s">
        <v>1396</v>
      </c>
      <c r="G374" t="s">
        <v>1396</v>
      </c>
      <c r="H374" t="s">
        <v>1397</v>
      </c>
      <c r="I374" t="s">
        <v>1400</v>
      </c>
      <c r="J374" s="3">
        <f t="shared" si="5"/>
        <v>2.6666666666666665</v>
      </c>
    </row>
    <row r="375" spans="1:10" x14ac:dyDescent="0.3">
      <c r="A375" t="s">
        <v>425</v>
      </c>
      <c r="B375" t="s">
        <v>43</v>
      </c>
      <c r="C375" t="s">
        <v>1397</v>
      </c>
      <c r="D375" t="s">
        <v>1395</v>
      </c>
      <c r="E375" t="s">
        <v>1395</v>
      </c>
      <c r="F375" t="s">
        <v>1395</v>
      </c>
      <c r="G375" t="s">
        <v>1400</v>
      </c>
      <c r="H375" t="s">
        <v>1395</v>
      </c>
      <c r="I375" t="s">
        <v>1395</v>
      </c>
      <c r="J375" s="3">
        <f t="shared" si="5"/>
        <v>2.8333333333333335</v>
      </c>
    </row>
    <row r="376" spans="1:10" x14ac:dyDescent="0.3">
      <c r="A376" t="s">
        <v>426</v>
      </c>
      <c r="B376" t="s">
        <v>1395</v>
      </c>
      <c r="C376" t="s">
        <v>1393</v>
      </c>
      <c r="D376" t="s">
        <v>1400</v>
      </c>
      <c r="E376" t="s">
        <v>1393</v>
      </c>
      <c r="F376" t="s">
        <v>1396</v>
      </c>
      <c r="G376" t="s">
        <v>43</v>
      </c>
      <c r="H376" t="s">
        <v>1394</v>
      </c>
      <c r="I376" t="s">
        <v>1396</v>
      </c>
      <c r="J376" s="3">
        <f t="shared" si="5"/>
        <v>3.1354166666666665</v>
      </c>
    </row>
    <row r="377" spans="1:10" x14ac:dyDescent="0.3">
      <c r="A377" t="s">
        <v>427</v>
      </c>
      <c r="B377" t="s">
        <v>1395</v>
      </c>
      <c r="C377" t="s">
        <v>1394</v>
      </c>
      <c r="D377" t="s">
        <v>1394</v>
      </c>
      <c r="E377" t="s">
        <v>1393</v>
      </c>
      <c r="F377" t="s">
        <v>1398</v>
      </c>
      <c r="G377" t="s">
        <v>1398</v>
      </c>
      <c r="H377" t="s">
        <v>43</v>
      </c>
      <c r="I377" t="s">
        <v>1393</v>
      </c>
      <c r="J377" s="3">
        <f t="shared" si="5"/>
        <v>3.3541666666666665</v>
      </c>
    </row>
    <row r="378" spans="1:10" x14ac:dyDescent="0.3">
      <c r="A378" t="s">
        <v>428</v>
      </c>
      <c r="B378" t="s">
        <v>1397</v>
      </c>
      <c r="C378" t="s">
        <v>1395</v>
      </c>
      <c r="D378" t="s">
        <v>1397</v>
      </c>
      <c r="E378" t="s">
        <v>1396</v>
      </c>
      <c r="F378" t="s">
        <v>1395</v>
      </c>
      <c r="G378" t="s">
        <v>1400</v>
      </c>
      <c r="H378" t="s">
        <v>1393</v>
      </c>
      <c r="I378" t="s">
        <v>1397</v>
      </c>
      <c r="J378" s="3">
        <f t="shared" si="5"/>
        <v>2.8958333333333335</v>
      </c>
    </row>
    <row r="379" spans="1:10" x14ac:dyDescent="0.3">
      <c r="A379" t="s">
        <v>429</v>
      </c>
      <c r="B379" t="s">
        <v>43</v>
      </c>
      <c r="C379" t="s">
        <v>1396</v>
      </c>
      <c r="D379" t="s">
        <v>1396</v>
      </c>
      <c r="E379" t="s">
        <v>1400</v>
      </c>
      <c r="F379" t="s">
        <v>1394</v>
      </c>
      <c r="G379" t="s">
        <v>1396</v>
      </c>
      <c r="H379" t="s">
        <v>1397</v>
      </c>
      <c r="I379" t="s">
        <v>1395</v>
      </c>
      <c r="J379" s="3">
        <f t="shared" si="5"/>
        <v>2.5729166666666665</v>
      </c>
    </row>
    <row r="380" spans="1:10" x14ac:dyDescent="0.3">
      <c r="A380" t="s">
        <v>430</v>
      </c>
      <c r="B380" t="s">
        <v>1397</v>
      </c>
      <c r="C380" t="s">
        <v>1395</v>
      </c>
      <c r="D380" t="s">
        <v>1396</v>
      </c>
      <c r="E380" t="s">
        <v>1396</v>
      </c>
      <c r="F380" t="s">
        <v>1397</v>
      </c>
      <c r="G380" t="s">
        <v>1395</v>
      </c>
      <c r="H380" t="s">
        <v>1396</v>
      </c>
      <c r="I380" t="s">
        <v>1396</v>
      </c>
      <c r="J380" s="3">
        <f t="shared" si="5"/>
        <v>3.0625</v>
      </c>
    </row>
    <row r="381" spans="1:10" x14ac:dyDescent="0.3">
      <c r="A381" t="s">
        <v>431</v>
      </c>
      <c r="B381" t="s">
        <v>1394</v>
      </c>
      <c r="C381" t="s">
        <v>1396</v>
      </c>
      <c r="D381" t="s">
        <v>1394</v>
      </c>
      <c r="E381" t="s">
        <v>43</v>
      </c>
      <c r="F381" t="s">
        <v>1396</v>
      </c>
      <c r="G381" t="s">
        <v>1397</v>
      </c>
      <c r="H381" t="s">
        <v>1396</v>
      </c>
      <c r="I381" t="s">
        <v>1396</v>
      </c>
      <c r="J381" s="3">
        <f t="shared" si="5"/>
        <v>3.0416666666666665</v>
      </c>
    </row>
    <row r="382" spans="1:10" x14ac:dyDescent="0.3">
      <c r="A382" t="s">
        <v>432</v>
      </c>
      <c r="B382" t="s">
        <v>1394</v>
      </c>
      <c r="C382" t="s">
        <v>1393</v>
      </c>
      <c r="D382" t="s">
        <v>43</v>
      </c>
      <c r="E382" t="s">
        <v>1396</v>
      </c>
      <c r="F382" t="s">
        <v>1396</v>
      </c>
      <c r="G382" t="s">
        <v>1396</v>
      </c>
      <c r="H382" t="s">
        <v>1398</v>
      </c>
      <c r="I382" t="s">
        <v>1394</v>
      </c>
      <c r="J382" s="3">
        <f t="shared" si="5"/>
        <v>3.2708333333333335</v>
      </c>
    </row>
    <row r="383" spans="1:10" x14ac:dyDescent="0.3">
      <c r="A383" t="s">
        <v>433</v>
      </c>
      <c r="B383" t="s">
        <v>1394</v>
      </c>
      <c r="C383" t="s">
        <v>1398</v>
      </c>
      <c r="D383" t="s">
        <v>1396</v>
      </c>
      <c r="E383" t="s">
        <v>1397</v>
      </c>
      <c r="F383" t="s">
        <v>1398</v>
      </c>
      <c r="G383" t="s">
        <v>43</v>
      </c>
      <c r="H383" t="s">
        <v>43</v>
      </c>
      <c r="I383" t="s">
        <v>1393</v>
      </c>
      <c r="J383" s="3">
        <f t="shared" si="5"/>
        <v>2.9270833333333335</v>
      </c>
    </row>
    <row r="384" spans="1:10" x14ac:dyDescent="0.3">
      <c r="A384" t="s">
        <v>434</v>
      </c>
      <c r="B384" t="s">
        <v>1395</v>
      </c>
      <c r="C384" t="s">
        <v>1398</v>
      </c>
      <c r="D384" t="s">
        <v>1398</v>
      </c>
      <c r="E384" t="s">
        <v>1393</v>
      </c>
      <c r="F384" t="s">
        <v>1394</v>
      </c>
      <c r="G384" t="s">
        <v>1394</v>
      </c>
      <c r="H384" t="s">
        <v>1393</v>
      </c>
      <c r="I384" t="s">
        <v>1395</v>
      </c>
      <c r="J384" s="3">
        <f t="shared" si="5"/>
        <v>3.4166666666666665</v>
      </c>
    </row>
    <row r="385" spans="1:10" x14ac:dyDescent="0.3">
      <c r="A385" t="s">
        <v>435</v>
      </c>
      <c r="B385" t="s">
        <v>1398</v>
      </c>
      <c r="C385" t="s">
        <v>1396</v>
      </c>
      <c r="D385" t="s">
        <v>1396</v>
      </c>
      <c r="E385" t="s">
        <v>1393</v>
      </c>
      <c r="F385" t="s">
        <v>1395</v>
      </c>
      <c r="G385" t="s">
        <v>1400</v>
      </c>
      <c r="H385" t="s">
        <v>1397</v>
      </c>
      <c r="I385" t="s">
        <v>1395</v>
      </c>
      <c r="J385" s="3">
        <f t="shared" si="5"/>
        <v>2.8854166666666665</v>
      </c>
    </row>
    <row r="386" spans="1:10" x14ac:dyDescent="0.3">
      <c r="A386" t="s">
        <v>436</v>
      </c>
      <c r="B386" t="s">
        <v>1396</v>
      </c>
      <c r="C386" t="s">
        <v>1398</v>
      </c>
      <c r="D386" t="s">
        <v>1398</v>
      </c>
      <c r="E386" t="s">
        <v>1393</v>
      </c>
      <c r="F386" t="s">
        <v>1397</v>
      </c>
      <c r="G386" t="s">
        <v>1395</v>
      </c>
      <c r="H386" t="s">
        <v>1396</v>
      </c>
      <c r="I386" t="s">
        <v>1394</v>
      </c>
      <c r="J386" s="3">
        <f t="shared" si="5"/>
        <v>3.1458333333333335</v>
      </c>
    </row>
    <row r="387" spans="1:10" x14ac:dyDescent="0.3">
      <c r="A387" t="s">
        <v>437</v>
      </c>
      <c r="B387" t="s">
        <v>1395</v>
      </c>
      <c r="C387" t="s">
        <v>1395</v>
      </c>
      <c r="D387" t="s">
        <v>1395</v>
      </c>
      <c r="E387" t="s">
        <v>1393</v>
      </c>
      <c r="F387" t="s">
        <v>1394</v>
      </c>
      <c r="G387" t="s">
        <v>1396</v>
      </c>
      <c r="H387" t="s">
        <v>1393</v>
      </c>
      <c r="I387" t="s">
        <v>1394</v>
      </c>
      <c r="J387" s="3">
        <f t="shared" ref="J387:J450" si="6">(VLOOKUP(B387,$N$27:$O$36, 2,0)*4+VLOOKUP(C387,$N$27:$O$36, 2,0)*4+VLOOKUP(D387,$N$27:$O$36, 2,0)*2+VLOOKUP(E387,$N$27:$O$36, 2,0)*3+VLOOKUP(F387,$N$27:$O$36, 2,0)*2+VLOOKUP(G387,$N$27:$O$36, 2,0)*2+VLOOKUP(H387,$N$27:$O$36, 2,0)*3+VLOOKUP(I387,$N$27:$O$36, 2,0)*4)/24</f>
        <v>3.6458333333333335</v>
      </c>
    </row>
    <row r="388" spans="1:10" x14ac:dyDescent="0.3">
      <c r="A388" t="s">
        <v>438</v>
      </c>
      <c r="B388" t="s">
        <v>1397</v>
      </c>
      <c r="C388" t="s">
        <v>1394</v>
      </c>
      <c r="D388" t="s">
        <v>1395</v>
      </c>
      <c r="E388" t="s">
        <v>1394</v>
      </c>
      <c r="F388" t="s">
        <v>1398</v>
      </c>
      <c r="G388" t="s">
        <v>1393</v>
      </c>
      <c r="H388" t="s">
        <v>1397</v>
      </c>
      <c r="I388" t="s">
        <v>43</v>
      </c>
      <c r="J388" s="3">
        <f t="shared" si="6"/>
        <v>3.0625</v>
      </c>
    </row>
    <row r="389" spans="1:10" x14ac:dyDescent="0.3">
      <c r="A389" t="s">
        <v>439</v>
      </c>
      <c r="B389" t="s">
        <v>1394</v>
      </c>
      <c r="C389" t="s">
        <v>1395</v>
      </c>
      <c r="D389" t="s">
        <v>1398</v>
      </c>
      <c r="E389" t="s">
        <v>1396</v>
      </c>
      <c r="F389" t="s">
        <v>1395</v>
      </c>
      <c r="G389" t="s">
        <v>1393</v>
      </c>
      <c r="H389" t="s">
        <v>1395</v>
      </c>
      <c r="I389" t="s">
        <v>1395</v>
      </c>
      <c r="J389" s="3">
        <f t="shared" si="6"/>
        <v>3.4375</v>
      </c>
    </row>
    <row r="390" spans="1:10" x14ac:dyDescent="0.3">
      <c r="A390" t="s">
        <v>440</v>
      </c>
      <c r="B390" t="s">
        <v>1397</v>
      </c>
      <c r="C390" t="s">
        <v>1394</v>
      </c>
      <c r="D390" t="s">
        <v>1395</v>
      </c>
      <c r="E390" t="s">
        <v>1397</v>
      </c>
      <c r="F390" t="s">
        <v>1398</v>
      </c>
      <c r="G390" t="s">
        <v>1395</v>
      </c>
      <c r="H390" t="s">
        <v>1395</v>
      </c>
      <c r="I390" t="s">
        <v>1396</v>
      </c>
      <c r="J390" s="3">
        <f t="shared" si="6"/>
        <v>3.15625</v>
      </c>
    </row>
    <row r="391" spans="1:10" x14ac:dyDescent="0.3">
      <c r="A391" t="s">
        <v>441</v>
      </c>
      <c r="B391" t="s">
        <v>43</v>
      </c>
      <c r="C391" t="s">
        <v>1394</v>
      </c>
      <c r="D391" t="s">
        <v>1400</v>
      </c>
      <c r="E391" t="s">
        <v>1397</v>
      </c>
      <c r="F391" t="s">
        <v>1395</v>
      </c>
      <c r="G391" t="s">
        <v>1397</v>
      </c>
      <c r="H391" t="s">
        <v>1395</v>
      </c>
      <c r="I391" t="s">
        <v>1393</v>
      </c>
      <c r="J391" s="3">
        <f t="shared" si="6"/>
        <v>2.9270833333333335</v>
      </c>
    </row>
    <row r="392" spans="1:10" x14ac:dyDescent="0.3">
      <c r="A392" t="s">
        <v>442</v>
      </c>
      <c r="B392" t="s">
        <v>1398</v>
      </c>
      <c r="C392" t="s">
        <v>1395</v>
      </c>
      <c r="D392" t="s">
        <v>1396</v>
      </c>
      <c r="E392" t="s">
        <v>1396</v>
      </c>
      <c r="F392" t="s">
        <v>43</v>
      </c>
      <c r="G392" t="s">
        <v>1398</v>
      </c>
      <c r="H392" t="s">
        <v>1393</v>
      </c>
      <c r="I392" t="s">
        <v>1396</v>
      </c>
      <c r="J392" s="3">
        <f t="shared" si="6"/>
        <v>3</v>
      </c>
    </row>
    <row r="393" spans="1:10" x14ac:dyDescent="0.3">
      <c r="A393" t="s">
        <v>443</v>
      </c>
      <c r="B393" t="s">
        <v>1396</v>
      </c>
      <c r="C393" t="s">
        <v>1396</v>
      </c>
      <c r="D393" t="s">
        <v>1398</v>
      </c>
      <c r="E393" t="s">
        <v>1395</v>
      </c>
      <c r="F393" t="s">
        <v>1396</v>
      </c>
      <c r="G393" t="s">
        <v>43</v>
      </c>
      <c r="H393" t="s">
        <v>1395</v>
      </c>
      <c r="I393" t="s">
        <v>1396</v>
      </c>
      <c r="J393" s="3">
        <f t="shared" si="6"/>
        <v>3</v>
      </c>
    </row>
    <row r="394" spans="1:10" x14ac:dyDescent="0.3">
      <c r="A394" t="s">
        <v>444</v>
      </c>
      <c r="B394" t="s">
        <v>1396</v>
      </c>
      <c r="C394" t="s">
        <v>1398</v>
      </c>
      <c r="D394" t="s">
        <v>1397</v>
      </c>
      <c r="E394" t="s">
        <v>1397</v>
      </c>
      <c r="F394" t="s">
        <v>1395</v>
      </c>
      <c r="G394" t="s">
        <v>1393</v>
      </c>
      <c r="H394" t="s">
        <v>1397</v>
      </c>
      <c r="I394" t="s">
        <v>1396</v>
      </c>
      <c r="J394" s="3">
        <f t="shared" si="6"/>
        <v>2.9583333333333335</v>
      </c>
    </row>
    <row r="395" spans="1:10" x14ac:dyDescent="0.3">
      <c r="A395" t="s">
        <v>445</v>
      </c>
      <c r="B395" t="s">
        <v>1398</v>
      </c>
      <c r="C395" t="s">
        <v>1398</v>
      </c>
      <c r="D395" t="s">
        <v>1393</v>
      </c>
      <c r="E395" t="s">
        <v>1394</v>
      </c>
      <c r="F395" t="s">
        <v>1393</v>
      </c>
      <c r="G395" t="s">
        <v>1398</v>
      </c>
      <c r="H395" t="s">
        <v>1393</v>
      </c>
      <c r="I395" t="s">
        <v>1393</v>
      </c>
      <c r="J395" s="3">
        <f t="shared" si="6"/>
        <v>3.34375</v>
      </c>
    </row>
    <row r="396" spans="1:10" x14ac:dyDescent="0.3">
      <c r="A396" t="s">
        <v>446</v>
      </c>
      <c r="B396" t="s">
        <v>1398</v>
      </c>
      <c r="C396" t="s">
        <v>1396</v>
      </c>
      <c r="D396" t="s">
        <v>1393</v>
      </c>
      <c r="E396" t="s">
        <v>1397</v>
      </c>
      <c r="F396" t="s">
        <v>1397</v>
      </c>
      <c r="G396" t="s">
        <v>1396</v>
      </c>
      <c r="H396" t="s">
        <v>1393</v>
      </c>
      <c r="I396" t="s">
        <v>1397</v>
      </c>
      <c r="J396" s="3">
        <f t="shared" si="6"/>
        <v>3.03125</v>
      </c>
    </row>
    <row r="397" spans="1:10" x14ac:dyDescent="0.3">
      <c r="A397" t="s">
        <v>447</v>
      </c>
      <c r="B397" t="s">
        <v>1395</v>
      </c>
      <c r="C397" t="s">
        <v>1396</v>
      </c>
      <c r="D397" t="s">
        <v>1400</v>
      </c>
      <c r="E397" t="s">
        <v>1398</v>
      </c>
      <c r="F397" t="s">
        <v>43</v>
      </c>
      <c r="G397" t="s">
        <v>1393</v>
      </c>
      <c r="H397" t="s">
        <v>1395</v>
      </c>
      <c r="I397" t="s">
        <v>1396</v>
      </c>
      <c r="J397" s="3">
        <f t="shared" si="6"/>
        <v>2.8333333333333335</v>
      </c>
    </row>
    <row r="398" spans="1:10" x14ac:dyDescent="0.3">
      <c r="A398" t="s">
        <v>448</v>
      </c>
      <c r="B398" t="s">
        <v>1393</v>
      </c>
      <c r="C398" t="s">
        <v>1400</v>
      </c>
      <c r="D398" t="s">
        <v>1394</v>
      </c>
      <c r="E398" t="s">
        <v>1394</v>
      </c>
      <c r="F398" t="s">
        <v>1395</v>
      </c>
      <c r="G398" t="s">
        <v>1394</v>
      </c>
      <c r="H398" t="s">
        <v>43</v>
      </c>
      <c r="I398" t="s">
        <v>1396</v>
      </c>
      <c r="J398" s="3">
        <f t="shared" si="6"/>
        <v>2.8020833333333335</v>
      </c>
    </row>
    <row r="399" spans="1:10" x14ac:dyDescent="0.3">
      <c r="A399" t="s">
        <v>449</v>
      </c>
      <c r="B399" t="s">
        <v>1396</v>
      </c>
      <c r="C399" t="s">
        <v>1395</v>
      </c>
      <c r="D399" t="s">
        <v>1393</v>
      </c>
      <c r="E399" t="s">
        <v>1395</v>
      </c>
      <c r="F399" t="s">
        <v>43</v>
      </c>
      <c r="G399" t="s">
        <v>1398</v>
      </c>
      <c r="H399" t="s">
        <v>43</v>
      </c>
      <c r="I399" t="s">
        <v>1394</v>
      </c>
      <c r="J399" s="3">
        <f t="shared" si="6"/>
        <v>3.1041666666666665</v>
      </c>
    </row>
    <row r="400" spans="1:10" x14ac:dyDescent="0.3">
      <c r="A400" t="s">
        <v>450</v>
      </c>
      <c r="B400" t="s">
        <v>1394</v>
      </c>
      <c r="C400" t="s">
        <v>1393</v>
      </c>
      <c r="D400" t="s">
        <v>1396</v>
      </c>
      <c r="E400" t="s">
        <v>1395</v>
      </c>
      <c r="F400" t="s">
        <v>1396</v>
      </c>
      <c r="G400" t="s">
        <v>1396</v>
      </c>
      <c r="H400" t="s">
        <v>1396</v>
      </c>
      <c r="I400" t="s">
        <v>1395</v>
      </c>
      <c r="J400" s="3">
        <f t="shared" si="6"/>
        <v>3.4375</v>
      </c>
    </row>
    <row r="401" spans="1:10" x14ac:dyDescent="0.3">
      <c r="A401" t="s">
        <v>451</v>
      </c>
      <c r="B401" t="s">
        <v>1398</v>
      </c>
      <c r="C401" t="s">
        <v>1394</v>
      </c>
      <c r="D401" t="s">
        <v>43</v>
      </c>
      <c r="E401" t="s">
        <v>1396</v>
      </c>
      <c r="F401" t="s">
        <v>1393</v>
      </c>
      <c r="G401" t="s">
        <v>1395</v>
      </c>
      <c r="H401" t="s">
        <v>1396</v>
      </c>
      <c r="I401" t="s">
        <v>1395</v>
      </c>
      <c r="J401" s="3">
        <f t="shared" si="6"/>
        <v>3.1666666666666665</v>
      </c>
    </row>
    <row r="402" spans="1:10" x14ac:dyDescent="0.3">
      <c r="A402" t="s">
        <v>452</v>
      </c>
      <c r="B402" t="s">
        <v>1396</v>
      </c>
      <c r="C402" t="s">
        <v>1395</v>
      </c>
      <c r="D402" t="s">
        <v>1394</v>
      </c>
      <c r="E402" t="s">
        <v>1398</v>
      </c>
      <c r="F402" t="s">
        <v>1394</v>
      </c>
      <c r="G402" t="s">
        <v>1397</v>
      </c>
      <c r="H402" t="s">
        <v>1398</v>
      </c>
      <c r="I402" t="s">
        <v>1396</v>
      </c>
      <c r="J402" s="3">
        <f t="shared" si="6"/>
        <v>3.0625</v>
      </c>
    </row>
    <row r="403" spans="1:10" x14ac:dyDescent="0.3">
      <c r="A403" t="s">
        <v>453</v>
      </c>
      <c r="B403" t="s">
        <v>1396</v>
      </c>
      <c r="C403" t="s">
        <v>1399</v>
      </c>
      <c r="D403" t="s">
        <v>1395</v>
      </c>
      <c r="E403" t="s">
        <v>43</v>
      </c>
      <c r="F403" t="s">
        <v>1393</v>
      </c>
      <c r="G403" t="s">
        <v>1395</v>
      </c>
      <c r="H403" t="s">
        <v>1397</v>
      </c>
      <c r="I403" t="s">
        <v>1393</v>
      </c>
      <c r="J403" s="3">
        <f t="shared" si="6"/>
        <v>2.84375</v>
      </c>
    </row>
    <row r="404" spans="1:10" x14ac:dyDescent="0.3">
      <c r="A404" t="s">
        <v>454</v>
      </c>
      <c r="B404" t="s">
        <v>43</v>
      </c>
      <c r="C404" t="s">
        <v>1393</v>
      </c>
      <c r="D404" t="s">
        <v>1396</v>
      </c>
      <c r="E404" t="s">
        <v>1394</v>
      </c>
      <c r="F404" t="s">
        <v>43</v>
      </c>
      <c r="G404" t="s">
        <v>1396</v>
      </c>
      <c r="H404" t="s">
        <v>1398</v>
      </c>
      <c r="I404" t="s">
        <v>1396</v>
      </c>
      <c r="J404" s="3">
        <f t="shared" si="6"/>
        <v>2.9479166666666665</v>
      </c>
    </row>
    <row r="405" spans="1:10" x14ac:dyDescent="0.3">
      <c r="A405" t="s">
        <v>455</v>
      </c>
      <c r="B405" t="s">
        <v>1397</v>
      </c>
      <c r="C405" t="s">
        <v>1397</v>
      </c>
      <c r="D405" t="s">
        <v>1394</v>
      </c>
      <c r="E405" t="s">
        <v>1394</v>
      </c>
      <c r="F405" t="s">
        <v>1398</v>
      </c>
      <c r="G405" t="s">
        <v>1393</v>
      </c>
      <c r="H405" t="s">
        <v>43</v>
      </c>
      <c r="I405" t="s">
        <v>1394</v>
      </c>
      <c r="J405" s="3">
        <f t="shared" si="6"/>
        <v>3.1145833333333335</v>
      </c>
    </row>
    <row r="406" spans="1:10" x14ac:dyDescent="0.3">
      <c r="A406" t="s">
        <v>456</v>
      </c>
      <c r="B406" t="s">
        <v>1393</v>
      </c>
      <c r="C406" t="s">
        <v>1393</v>
      </c>
      <c r="D406" t="s">
        <v>1398</v>
      </c>
      <c r="E406" t="s">
        <v>1399</v>
      </c>
      <c r="F406" t="s">
        <v>1395</v>
      </c>
      <c r="G406" t="s">
        <v>1397</v>
      </c>
      <c r="H406" t="s">
        <v>1394</v>
      </c>
      <c r="I406" t="s">
        <v>43</v>
      </c>
      <c r="J406" s="3">
        <f t="shared" si="6"/>
        <v>2.9895833333333335</v>
      </c>
    </row>
    <row r="407" spans="1:10" x14ac:dyDescent="0.3">
      <c r="A407" t="s">
        <v>457</v>
      </c>
      <c r="B407" t="s">
        <v>1397</v>
      </c>
      <c r="C407" t="s">
        <v>1394</v>
      </c>
      <c r="D407" t="s">
        <v>1393</v>
      </c>
      <c r="E407" t="s">
        <v>1397</v>
      </c>
      <c r="F407" t="s">
        <v>1393</v>
      </c>
      <c r="G407" t="s">
        <v>1398</v>
      </c>
      <c r="H407" t="s">
        <v>1394</v>
      </c>
      <c r="I407" t="s">
        <v>1394</v>
      </c>
      <c r="J407" s="3">
        <f t="shared" si="6"/>
        <v>3.3958333333333335</v>
      </c>
    </row>
    <row r="408" spans="1:10" x14ac:dyDescent="0.3">
      <c r="A408" t="s">
        <v>458</v>
      </c>
      <c r="B408" t="s">
        <v>1396</v>
      </c>
      <c r="C408" t="s">
        <v>1395</v>
      </c>
      <c r="D408" t="s">
        <v>1396</v>
      </c>
      <c r="E408" t="s">
        <v>1394</v>
      </c>
      <c r="F408" t="s">
        <v>43</v>
      </c>
      <c r="G408" t="s">
        <v>1395</v>
      </c>
      <c r="H408" t="s">
        <v>1398</v>
      </c>
      <c r="I408" t="s">
        <v>1394</v>
      </c>
      <c r="J408" s="3">
        <f t="shared" si="6"/>
        <v>3.1979166666666665</v>
      </c>
    </row>
    <row r="409" spans="1:10" x14ac:dyDescent="0.3">
      <c r="A409" t="s">
        <v>459</v>
      </c>
      <c r="B409" t="s">
        <v>1398</v>
      </c>
      <c r="C409" t="s">
        <v>1400</v>
      </c>
      <c r="D409" t="s">
        <v>1395</v>
      </c>
      <c r="E409" t="s">
        <v>1393</v>
      </c>
      <c r="F409" t="s">
        <v>1395</v>
      </c>
      <c r="G409" t="s">
        <v>1397</v>
      </c>
      <c r="H409" t="s">
        <v>1394</v>
      </c>
      <c r="I409" t="s">
        <v>1396</v>
      </c>
      <c r="J409" s="3">
        <f t="shared" si="6"/>
        <v>2.6979166666666665</v>
      </c>
    </row>
    <row r="410" spans="1:10" x14ac:dyDescent="0.3">
      <c r="A410" t="s">
        <v>460</v>
      </c>
      <c r="B410" t="s">
        <v>1393</v>
      </c>
      <c r="C410" t="s">
        <v>1396</v>
      </c>
      <c r="D410" t="s">
        <v>1397</v>
      </c>
      <c r="E410" t="s">
        <v>1395</v>
      </c>
      <c r="F410" t="s">
        <v>1397</v>
      </c>
      <c r="G410" t="s">
        <v>1393</v>
      </c>
      <c r="H410" t="s">
        <v>1398</v>
      </c>
      <c r="I410" t="s">
        <v>1393</v>
      </c>
      <c r="J410" s="3">
        <f t="shared" si="6"/>
        <v>3.375</v>
      </c>
    </row>
    <row r="411" spans="1:10" x14ac:dyDescent="0.3">
      <c r="A411" t="s">
        <v>461</v>
      </c>
      <c r="B411" t="s">
        <v>43</v>
      </c>
      <c r="C411" t="s">
        <v>1400</v>
      </c>
      <c r="D411" t="s">
        <v>1399</v>
      </c>
      <c r="E411" t="s">
        <v>1396</v>
      </c>
      <c r="F411" t="s">
        <v>1394</v>
      </c>
      <c r="G411" t="s">
        <v>1395</v>
      </c>
      <c r="H411" t="s">
        <v>1398</v>
      </c>
      <c r="I411" t="s">
        <v>1396</v>
      </c>
      <c r="J411" s="3">
        <f t="shared" si="6"/>
        <v>2.2083333333333335</v>
      </c>
    </row>
    <row r="412" spans="1:10" x14ac:dyDescent="0.3">
      <c r="A412" t="s">
        <v>462</v>
      </c>
      <c r="B412" t="s">
        <v>43</v>
      </c>
      <c r="C412" t="s">
        <v>1393</v>
      </c>
      <c r="D412" t="s">
        <v>1396</v>
      </c>
      <c r="E412" t="s">
        <v>43</v>
      </c>
      <c r="F412" t="s">
        <v>1396</v>
      </c>
      <c r="G412" t="s">
        <v>1396</v>
      </c>
      <c r="H412" t="s">
        <v>1393</v>
      </c>
      <c r="I412" t="s">
        <v>1393</v>
      </c>
      <c r="J412" s="3">
        <f t="shared" si="6"/>
        <v>3.1666666666666665</v>
      </c>
    </row>
    <row r="413" spans="1:10" x14ac:dyDescent="0.3">
      <c r="A413" t="s">
        <v>463</v>
      </c>
      <c r="B413" t="s">
        <v>1394</v>
      </c>
      <c r="C413" t="s">
        <v>43</v>
      </c>
      <c r="D413" t="s">
        <v>1398</v>
      </c>
      <c r="E413" t="s">
        <v>1394</v>
      </c>
      <c r="F413" t="s">
        <v>43</v>
      </c>
      <c r="G413" t="s">
        <v>1393</v>
      </c>
      <c r="H413" t="s">
        <v>1396</v>
      </c>
      <c r="I413" t="s">
        <v>1399</v>
      </c>
      <c r="J413" s="3">
        <f t="shared" si="6"/>
        <v>2.6770833333333335</v>
      </c>
    </row>
    <row r="414" spans="1:10" x14ac:dyDescent="0.3">
      <c r="A414" t="s">
        <v>464</v>
      </c>
      <c r="B414" t="s">
        <v>1395</v>
      </c>
      <c r="C414" t="s">
        <v>1399</v>
      </c>
      <c r="D414" t="s">
        <v>1397</v>
      </c>
      <c r="E414" t="s">
        <v>1393</v>
      </c>
      <c r="F414" t="s">
        <v>1395</v>
      </c>
      <c r="G414" t="s">
        <v>1395</v>
      </c>
      <c r="H414" t="s">
        <v>1394</v>
      </c>
      <c r="I414" t="s">
        <v>1397</v>
      </c>
      <c r="J414" s="3">
        <f t="shared" si="6"/>
        <v>2.9895833333333335</v>
      </c>
    </row>
    <row r="415" spans="1:10" x14ac:dyDescent="0.3">
      <c r="A415" t="s">
        <v>465</v>
      </c>
      <c r="B415" t="s">
        <v>1394</v>
      </c>
      <c r="C415" t="s">
        <v>1398</v>
      </c>
      <c r="D415" t="s">
        <v>1394</v>
      </c>
      <c r="E415" t="s">
        <v>1393</v>
      </c>
      <c r="F415" t="s">
        <v>1396</v>
      </c>
      <c r="G415" t="s">
        <v>1393</v>
      </c>
      <c r="H415" t="s">
        <v>1396</v>
      </c>
      <c r="I415" t="s">
        <v>1398</v>
      </c>
      <c r="J415" s="3">
        <f t="shared" si="6"/>
        <v>3.2291666666666665</v>
      </c>
    </row>
    <row r="416" spans="1:10" x14ac:dyDescent="0.3">
      <c r="A416" t="s">
        <v>466</v>
      </c>
      <c r="B416" t="s">
        <v>1396</v>
      </c>
      <c r="C416" t="s">
        <v>1396</v>
      </c>
      <c r="D416" t="s">
        <v>1393</v>
      </c>
      <c r="E416" t="s">
        <v>1396</v>
      </c>
      <c r="F416" t="s">
        <v>1393</v>
      </c>
      <c r="G416" t="s">
        <v>1397</v>
      </c>
      <c r="H416" t="s">
        <v>1393</v>
      </c>
      <c r="I416" t="s">
        <v>1396</v>
      </c>
      <c r="J416" s="3">
        <f t="shared" si="6"/>
        <v>3.2708333333333335</v>
      </c>
    </row>
    <row r="417" spans="1:10" x14ac:dyDescent="0.3">
      <c r="A417" t="s">
        <v>467</v>
      </c>
      <c r="B417" t="s">
        <v>1395</v>
      </c>
      <c r="C417" t="s">
        <v>1395</v>
      </c>
      <c r="D417" t="s">
        <v>1397</v>
      </c>
      <c r="E417" t="s">
        <v>1394</v>
      </c>
      <c r="F417" t="s">
        <v>1394</v>
      </c>
      <c r="G417" t="s">
        <v>1399</v>
      </c>
      <c r="H417" t="s">
        <v>1395</v>
      </c>
      <c r="I417" t="s">
        <v>1398</v>
      </c>
      <c r="J417" s="3">
        <f t="shared" si="6"/>
        <v>3.1145833333333335</v>
      </c>
    </row>
    <row r="418" spans="1:10" x14ac:dyDescent="0.3">
      <c r="A418" t="s">
        <v>468</v>
      </c>
      <c r="B418" t="s">
        <v>43</v>
      </c>
      <c r="C418" t="s">
        <v>1396</v>
      </c>
      <c r="D418" t="s">
        <v>1393</v>
      </c>
      <c r="E418" t="s">
        <v>1393</v>
      </c>
      <c r="F418" t="s">
        <v>43</v>
      </c>
      <c r="G418" t="s">
        <v>1393</v>
      </c>
      <c r="H418" t="s">
        <v>1396</v>
      </c>
      <c r="I418" t="s">
        <v>1396</v>
      </c>
      <c r="J418" s="3">
        <f t="shared" si="6"/>
        <v>3.0416666666666665</v>
      </c>
    </row>
    <row r="419" spans="1:10" x14ac:dyDescent="0.3">
      <c r="A419" t="s">
        <v>469</v>
      </c>
      <c r="B419" t="s">
        <v>1393</v>
      </c>
      <c r="C419" t="s">
        <v>1396</v>
      </c>
      <c r="D419" t="s">
        <v>1394</v>
      </c>
      <c r="E419" t="s">
        <v>1396</v>
      </c>
      <c r="F419" t="s">
        <v>1396</v>
      </c>
      <c r="G419" t="s">
        <v>1395</v>
      </c>
      <c r="H419" t="s">
        <v>1394</v>
      </c>
      <c r="I419" t="s">
        <v>1395</v>
      </c>
      <c r="J419" s="3">
        <f t="shared" si="6"/>
        <v>3.4479166666666665</v>
      </c>
    </row>
    <row r="420" spans="1:10" x14ac:dyDescent="0.3">
      <c r="A420" t="s">
        <v>470</v>
      </c>
      <c r="B420" t="s">
        <v>1394</v>
      </c>
      <c r="C420" t="s">
        <v>1393</v>
      </c>
      <c r="D420" t="s">
        <v>1394</v>
      </c>
      <c r="E420" t="s">
        <v>43</v>
      </c>
      <c r="F420" t="s">
        <v>1396</v>
      </c>
      <c r="G420" t="s">
        <v>43</v>
      </c>
      <c r="H420" t="s">
        <v>1393</v>
      </c>
      <c r="I420" t="s">
        <v>1399</v>
      </c>
      <c r="J420" s="3">
        <f t="shared" si="6"/>
        <v>2.9375</v>
      </c>
    </row>
    <row r="421" spans="1:10" x14ac:dyDescent="0.3">
      <c r="A421" t="s">
        <v>471</v>
      </c>
      <c r="B421" t="s">
        <v>1396</v>
      </c>
      <c r="C421" t="s">
        <v>1398</v>
      </c>
      <c r="D421" t="s">
        <v>1396</v>
      </c>
      <c r="E421" t="s">
        <v>1397</v>
      </c>
      <c r="F421" t="s">
        <v>1394</v>
      </c>
      <c r="G421" t="s">
        <v>1398</v>
      </c>
      <c r="H421" t="s">
        <v>1394</v>
      </c>
      <c r="I421" t="s">
        <v>1394</v>
      </c>
      <c r="J421" s="3">
        <f t="shared" si="6"/>
        <v>3.125</v>
      </c>
    </row>
    <row r="422" spans="1:10" x14ac:dyDescent="0.3">
      <c r="A422" t="s">
        <v>472</v>
      </c>
      <c r="B422" t="s">
        <v>1393</v>
      </c>
      <c r="C422" t="s">
        <v>1395</v>
      </c>
      <c r="D422" t="s">
        <v>1396</v>
      </c>
      <c r="E422" t="s">
        <v>1394</v>
      </c>
      <c r="F422" t="s">
        <v>43</v>
      </c>
      <c r="G422" t="s">
        <v>1393</v>
      </c>
      <c r="H422" t="s">
        <v>1396</v>
      </c>
      <c r="I422" t="s">
        <v>1394</v>
      </c>
      <c r="J422" s="3">
        <f t="shared" si="6"/>
        <v>3.46875</v>
      </c>
    </row>
    <row r="423" spans="1:10" x14ac:dyDescent="0.3">
      <c r="A423" t="s">
        <v>473</v>
      </c>
      <c r="B423" t="s">
        <v>1396</v>
      </c>
      <c r="C423" t="s">
        <v>1398</v>
      </c>
      <c r="D423" t="s">
        <v>1397</v>
      </c>
      <c r="E423" t="s">
        <v>1393</v>
      </c>
      <c r="F423" t="s">
        <v>1394</v>
      </c>
      <c r="G423" t="s">
        <v>1396</v>
      </c>
      <c r="H423" t="s">
        <v>1400</v>
      </c>
      <c r="I423" t="s">
        <v>1393</v>
      </c>
      <c r="J423" s="3">
        <f t="shared" si="6"/>
        <v>2.875</v>
      </c>
    </row>
    <row r="424" spans="1:10" x14ac:dyDescent="0.3">
      <c r="A424" t="s">
        <v>474</v>
      </c>
      <c r="B424" t="s">
        <v>1396</v>
      </c>
      <c r="C424" t="s">
        <v>1397</v>
      </c>
      <c r="D424" t="s">
        <v>1398</v>
      </c>
      <c r="E424" t="s">
        <v>1395</v>
      </c>
      <c r="F424" t="s">
        <v>1398</v>
      </c>
      <c r="G424" t="s">
        <v>1396</v>
      </c>
      <c r="H424" t="s">
        <v>43</v>
      </c>
      <c r="I424" t="s">
        <v>1393</v>
      </c>
      <c r="J424" s="3">
        <f t="shared" si="6"/>
        <v>2.9791666666666665</v>
      </c>
    </row>
    <row r="425" spans="1:10" x14ac:dyDescent="0.3">
      <c r="A425" t="s">
        <v>475</v>
      </c>
      <c r="B425" t="s">
        <v>1399</v>
      </c>
      <c r="C425" t="s">
        <v>1395</v>
      </c>
      <c r="D425" t="s">
        <v>1395</v>
      </c>
      <c r="E425" t="s">
        <v>1393</v>
      </c>
      <c r="F425" t="s">
        <v>1394</v>
      </c>
      <c r="G425" t="s">
        <v>1397</v>
      </c>
      <c r="H425" t="s">
        <v>1397</v>
      </c>
      <c r="I425" t="s">
        <v>1394</v>
      </c>
      <c r="J425" s="3">
        <f t="shared" si="6"/>
        <v>3.0520833333333335</v>
      </c>
    </row>
    <row r="426" spans="1:10" x14ac:dyDescent="0.3">
      <c r="A426" t="s">
        <v>476</v>
      </c>
      <c r="B426" t="s">
        <v>1395</v>
      </c>
      <c r="C426" t="s">
        <v>1393</v>
      </c>
      <c r="D426" t="s">
        <v>1394</v>
      </c>
      <c r="E426" t="s">
        <v>1394</v>
      </c>
      <c r="F426" t="s">
        <v>1395</v>
      </c>
      <c r="G426" t="s">
        <v>1400</v>
      </c>
      <c r="H426" t="s">
        <v>1400</v>
      </c>
      <c r="I426" t="s">
        <v>1398</v>
      </c>
      <c r="J426" s="3">
        <f t="shared" si="6"/>
        <v>2.7395833333333335</v>
      </c>
    </row>
    <row r="427" spans="1:10" x14ac:dyDescent="0.3">
      <c r="A427" t="s">
        <v>477</v>
      </c>
      <c r="B427" t="s">
        <v>1396</v>
      </c>
      <c r="C427" t="s">
        <v>1396</v>
      </c>
      <c r="D427" t="s">
        <v>1398</v>
      </c>
      <c r="E427" t="s">
        <v>43</v>
      </c>
      <c r="F427" t="s">
        <v>1398</v>
      </c>
      <c r="G427" t="s">
        <v>1397</v>
      </c>
      <c r="H427" t="s">
        <v>1394</v>
      </c>
      <c r="I427" t="s">
        <v>1396</v>
      </c>
      <c r="J427" s="3">
        <f t="shared" si="6"/>
        <v>2.8645833333333335</v>
      </c>
    </row>
    <row r="428" spans="1:10" x14ac:dyDescent="0.3">
      <c r="A428" t="s">
        <v>478</v>
      </c>
      <c r="B428" t="s">
        <v>1398</v>
      </c>
      <c r="C428" t="s">
        <v>1398</v>
      </c>
      <c r="D428" t="s">
        <v>1393</v>
      </c>
      <c r="E428" t="s">
        <v>1397</v>
      </c>
      <c r="F428" t="s">
        <v>1395</v>
      </c>
      <c r="G428" t="s">
        <v>1394</v>
      </c>
      <c r="H428" t="s">
        <v>1399</v>
      </c>
      <c r="I428" t="s">
        <v>1397</v>
      </c>
      <c r="J428" s="3">
        <f t="shared" si="6"/>
        <v>2.6979166666666665</v>
      </c>
    </row>
    <row r="429" spans="1:10" x14ac:dyDescent="0.3">
      <c r="A429" t="s">
        <v>479</v>
      </c>
      <c r="B429" t="s">
        <v>1397</v>
      </c>
      <c r="C429" t="s">
        <v>1393</v>
      </c>
      <c r="D429" t="s">
        <v>1398</v>
      </c>
      <c r="E429" t="s">
        <v>1399</v>
      </c>
      <c r="F429" t="s">
        <v>43</v>
      </c>
      <c r="G429" t="s">
        <v>1397</v>
      </c>
      <c r="H429" t="s">
        <v>1398</v>
      </c>
      <c r="I429" t="s">
        <v>1398</v>
      </c>
      <c r="J429" s="3">
        <f t="shared" si="6"/>
        <v>2.5833333333333335</v>
      </c>
    </row>
    <row r="430" spans="1:10" x14ac:dyDescent="0.3">
      <c r="A430" t="s">
        <v>480</v>
      </c>
      <c r="B430" t="s">
        <v>1396</v>
      </c>
      <c r="C430" t="s">
        <v>1395</v>
      </c>
      <c r="D430" t="s">
        <v>1398</v>
      </c>
      <c r="E430" t="s">
        <v>1398</v>
      </c>
      <c r="F430" t="s">
        <v>43</v>
      </c>
      <c r="G430" t="s">
        <v>1394</v>
      </c>
      <c r="H430" t="s">
        <v>1399</v>
      </c>
      <c r="I430" t="s">
        <v>1396</v>
      </c>
      <c r="J430" s="3">
        <f t="shared" si="6"/>
        <v>2.7083333333333335</v>
      </c>
    </row>
    <row r="431" spans="1:10" x14ac:dyDescent="0.3">
      <c r="A431" t="s">
        <v>481</v>
      </c>
      <c r="B431" t="s">
        <v>1399</v>
      </c>
      <c r="C431" t="s">
        <v>1393</v>
      </c>
      <c r="D431" t="s">
        <v>1399</v>
      </c>
      <c r="E431" t="s">
        <v>1398</v>
      </c>
      <c r="F431" t="s">
        <v>1394</v>
      </c>
      <c r="G431" t="s">
        <v>1398</v>
      </c>
      <c r="H431" t="s">
        <v>1394</v>
      </c>
      <c r="I431" t="s">
        <v>1394</v>
      </c>
      <c r="J431" s="3">
        <f t="shared" si="6"/>
        <v>2.84375</v>
      </c>
    </row>
    <row r="432" spans="1:10" x14ac:dyDescent="0.3">
      <c r="A432" t="s">
        <v>482</v>
      </c>
      <c r="B432" t="s">
        <v>1396</v>
      </c>
      <c r="C432" t="s">
        <v>1394</v>
      </c>
      <c r="D432" t="s">
        <v>1396</v>
      </c>
      <c r="E432" t="s">
        <v>43</v>
      </c>
      <c r="F432" t="s">
        <v>1397</v>
      </c>
      <c r="G432" t="s">
        <v>1397</v>
      </c>
      <c r="H432" t="s">
        <v>1395</v>
      </c>
      <c r="I432" t="s">
        <v>1398</v>
      </c>
      <c r="J432" s="3">
        <f t="shared" si="6"/>
        <v>2.9375</v>
      </c>
    </row>
    <row r="433" spans="1:10" x14ac:dyDescent="0.3">
      <c r="A433" t="s">
        <v>483</v>
      </c>
      <c r="B433" t="s">
        <v>1398</v>
      </c>
      <c r="C433" t="s">
        <v>1397</v>
      </c>
      <c r="D433" t="s">
        <v>1399</v>
      </c>
      <c r="E433" t="s">
        <v>1398</v>
      </c>
      <c r="F433" t="s">
        <v>1395</v>
      </c>
      <c r="G433" t="s">
        <v>1393</v>
      </c>
      <c r="H433" t="s">
        <v>1397</v>
      </c>
      <c r="I433" t="s">
        <v>1398</v>
      </c>
      <c r="J433" s="3">
        <f t="shared" si="6"/>
        <v>2.65625</v>
      </c>
    </row>
    <row r="434" spans="1:10" x14ac:dyDescent="0.3">
      <c r="A434" t="s">
        <v>484</v>
      </c>
      <c r="B434" t="s">
        <v>1395</v>
      </c>
      <c r="C434" t="s">
        <v>1396</v>
      </c>
      <c r="D434" t="s">
        <v>1398</v>
      </c>
      <c r="E434" t="s">
        <v>1398</v>
      </c>
      <c r="F434" t="s">
        <v>1393</v>
      </c>
      <c r="G434" t="s">
        <v>1396</v>
      </c>
      <c r="H434" t="s">
        <v>1393</v>
      </c>
      <c r="I434" t="s">
        <v>1393</v>
      </c>
      <c r="J434" s="3">
        <f t="shared" si="6"/>
        <v>3.3541666666666665</v>
      </c>
    </row>
    <row r="435" spans="1:10" x14ac:dyDescent="0.3">
      <c r="A435" t="s">
        <v>485</v>
      </c>
      <c r="B435" t="s">
        <v>1398</v>
      </c>
      <c r="C435" t="s">
        <v>1395</v>
      </c>
      <c r="D435" t="s">
        <v>1396</v>
      </c>
      <c r="E435" t="s">
        <v>1396</v>
      </c>
      <c r="F435" t="s">
        <v>1395</v>
      </c>
      <c r="G435" t="s">
        <v>1394</v>
      </c>
      <c r="H435" t="s">
        <v>1395</v>
      </c>
      <c r="I435" t="s">
        <v>1398</v>
      </c>
      <c r="J435" s="3">
        <f t="shared" si="6"/>
        <v>3.0833333333333335</v>
      </c>
    </row>
    <row r="436" spans="1:10" x14ac:dyDescent="0.3">
      <c r="A436" t="s">
        <v>486</v>
      </c>
      <c r="B436" t="s">
        <v>1396</v>
      </c>
      <c r="C436" t="s">
        <v>1394</v>
      </c>
      <c r="D436" t="s">
        <v>1393</v>
      </c>
      <c r="E436" t="s">
        <v>1394</v>
      </c>
      <c r="F436" t="s">
        <v>1397</v>
      </c>
      <c r="G436" t="s">
        <v>1395</v>
      </c>
      <c r="H436" t="s">
        <v>1397</v>
      </c>
      <c r="I436" t="s">
        <v>1398</v>
      </c>
      <c r="J436" s="3">
        <f t="shared" si="6"/>
        <v>3.2083333333333335</v>
      </c>
    </row>
    <row r="437" spans="1:10" x14ac:dyDescent="0.3">
      <c r="A437" t="s">
        <v>487</v>
      </c>
      <c r="B437" t="s">
        <v>1393</v>
      </c>
      <c r="C437" t="s">
        <v>1397</v>
      </c>
      <c r="D437" t="s">
        <v>1393</v>
      </c>
      <c r="E437" t="s">
        <v>1398</v>
      </c>
      <c r="F437" t="s">
        <v>1394</v>
      </c>
      <c r="G437" t="s">
        <v>1394</v>
      </c>
      <c r="H437" t="s">
        <v>1399</v>
      </c>
      <c r="I437" t="s">
        <v>1395</v>
      </c>
      <c r="J437" s="3">
        <f t="shared" si="6"/>
        <v>3.1041666666666665</v>
      </c>
    </row>
    <row r="438" spans="1:10" x14ac:dyDescent="0.3">
      <c r="A438" t="s">
        <v>488</v>
      </c>
      <c r="B438" t="s">
        <v>1394</v>
      </c>
      <c r="C438" t="s">
        <v>43</v>
      </c>
      <c r="D438" t="s">
        <v>1396</v>
      </c>
      <c r="E438" t="s">
        <v>43</v>
      </c>
      <c r="F438" t="s">
        <v>1395</v>
      </c>
      <c r="G438" t="s">
        <v>1396</v>
      </c>
      <c r="H438" t="s">
        <v>1399</v>
      </c>
      <c r="I438" t="s">
        <v>1396</v>
      </c>
      <c r="J438" s="3">
        <f t="shared" si="6"/>
        <v>2.625</v>
      </c>
    </row>
    <row r="439" spans="1:10" x14ac:dyDescent="0.3">
      <c r="A439" t="s">
        <v>489</v>
      </c>
      <c r="B439" t="s">
        <v>1400</v>
      </c>
      <c r="C439" t="s">
        <v>1394</v>
      </c>
      <c r="D439" t="s">
        <v>1398</v>
      </c>
      <c r="E439" t="s">
        <v>1394</v>
      </c>
      <c r="F439" t="s">
        <v>1396</v>
      </c>
      <c r="G439" t="s">
        <v>1393</v>
      </c>
      <c r="H439" t="s">
        <v>1394</v>
      </c>
      <c r="I439" t="s">
        <v>1399</v>
      </c>
      <c r="J439" s="3">
        <f t="shared" si="6"/>
        <v>2.5208333333333335</v>
      </c>
    </row>
    <row r="440" spans="1:10" x14ac:dyDescent="0.3">
      <c r="A440" t="s">
        <v>490</v>
      </c>
      <c r="B440" t="s">
        <v>1396</v>
      </c>
      <c r="C440" t="s">
        <v>1398</v>
      </c>
      <c r="D440" t="s">
        <v>1394</v>
      </c>
      <c r="E440" t="s">
        <v>1395</v>
      </c>
      <c r="F440" t="s">
        <v>1393</v>
      </c>
      <c r="G440" t="s">
        <v>1396</v>
      </c>
      <c r="H440" t="s">
        <v>43</v>
      </c>
      <c r="I440" t="s">
        <v>1396</v>
      </c>
      <c r="J440" s="3">
        <f t="shared" si="6"/>
        <v>3</v>
      </c>
    </row>
    <row r="441" spans="1:10" x14ac:dyDescent="0.3">
      <c r="A441" t="s">
        <v>491</v>
      </c>
      <c r="B441" t="s">
        <v>1395</v>
      </c>
      <c r="C441" t="s">
        <v>43</v>
      </c>
      <c r="D441" t="s">
        <v>43</v>
      </c>
      <c r="E441" t="s">
        <v>1397</v>
      </c>
      <c r="F441" t="s">
        <v>1393</v>
      </c>
      <c r="G441" t="s">
        <v>1396</v>
      </c>
      <c r="H441" t="s">
        <v>1395</v>
      </c>
      <c r="I441" t="s">
        <v>1399</v>
      </c>
      <c r="J441" s="3">
        <f t="shared" si="6"/>
        <v>2.6145833333333335</v>
      </c>
    </row>
    <row r="442" spans="1:10" x14ac:dyDescent="0.3">
      <c r="A442" t="s">
        <v>492</v>
      </c>
      <c r="B442" t="s">
        <v>1395</v>
      </c>
      <c r="C442" t="s">
        <v>1397</v>
      </c>
      <c r="D442" t="s">
        <v>1397</v>
      </c>
      <c r="E442" t="s">
        <v>1395</v>
      </c>
      <c r="F442" t="s">
        <v>1396</v>
      </c>
      <c r="G442" t="s">
        <v>1397</v>
      </c>
      <c r="H442" t="s">
        <v>43</v>
      </c>
      <c r="I442" t="s">
        <v>1396</v>
      </c>
      <c r="J442" s="3">
        <f t="shared" si="6"/>
        <v>2.9375</v>
      </c>
    </row>
    <row r="443" spans="1:10" x14ac:dyDescent="0.3">
      <c r="A443" t="s">
        <v>493</v>
      </c>
      <c r="B443" t="s">
        <v>1395</v>
      </c>
      <c r="C443" t="s">
        <v>1400</v>
      </c>
      <c r="D443" t="s">
        <v>1393</v>
      </c>
      <c r="E443" t="s">
        <v>1398</v>
      </c>
      <c r="F443" t="s">
        <v>1397</v>
      </c>
      <c r="G443" t="s">
        <v>1396</v>
      </c>
      <c r="H443" t="s">
        <v>1395</v>
      </c>
      <c r="I443" t="s">
        <v>1398</v>
      </c>
      <c r="J443" s="3">
        <f t="shared" si="6"/>
        <v>2.5625</v>
      </c>
    </row>
    <row r="444" spans="1:10" x14ac:dyDescent="0.3">
      <c r="A444" t="s">
        <v>494</v>
      </c>
      <c r="B444" t="s">
        <v>43</v>
      </c>
      <c r="C444" t="s">
        <v>1397</v>
      </c>
      <c r="D444" t="s">
        <v>1397</v>
      </c>
      <c r="E444" t="s">
        <v>1393</v>
      </c>
      <c r="F444" t="s">
        <v>1395</v>
      </c>
      <c r="G444" t="s">
        <v>1393</v>
      </c>
      <c r="H444" t="s">
        <v>1399</v>
      </c>
      <c r="I444" t="s">
        <v>43</v>
      </c>
      <c r="J444" s="3">
        <f t="shared" si="6"/>
        <v>2.6041666666666665</v>
      </c>
    </row>
    <row r="445" spans="1:10" x14ac:dyDescent="0.3">
      <c r="A445" t="s">
        <v>495</v>
      </c>
      <c r="B445" t="s">
        <v>1393</v>
      </c>
      <c r="C445" t="s">
        <v>1396</v>
      </c>
      <c r="D445" t="s">
        <v>1396</v>
      </c>
      <c r="E445" t="s">
        <v>1393</v>
      </c>
      <c r="F445" t="s">
        <v>1395</v>
      </c>
      <c r="G445" t="s">
        <v>1397</v>
      </c>
      <c r="H445" t="s">
        <v>1397</v>
      </c>
      <c r="I445" t="s">
        <v>1394</v>
      </c>
      <c r="J445" s="3">
        <f t="shared" si="6"/>
        <v>3.40625</v>
      </c>
    </row>
    <row r="446" spans="1:10" x14ac:dyDescent="0.3">
      <c r="A446" t="s">
        <v>496</v>
      </c>
      <c r="B446" t="s">
        <v>1398</v>
      </c>
      <c r="C446" t="s">
        <v>1394</v>
      </c>
      <c r="D446" t="s">
        <v>1396</v>
      </c>
      <c r="E446" t="s">
        <v>1395</v>
      </c>
      <c r="F446" t="s">
        <v>1400</v>
      </c>
      <c r="G446" t="s">
        <v>1397</v>
      </c>
      <c r="H446" t="s">
        <v>1398</v>
      </c>
      <c r="I446" t="s">
        <v>1397</v>
      </c>
      <c r="J446" s="3">
        <f t="shared" si="6"/>
        <v>2.7291666666666665</v>
      </c>
    </row>
    <row r="447" spans="1:10" x14ac:dyDescent="0.3">
      <c r="A447" t="s">
        <v>497</v>
      </c>
      <c r="B447" t="s">
        <v>1395</v>
      </c>
      <c r="C447" t="s">
        <v>1399</v>
      </c>
      <c r="D447" t="s">
        <v>1397</v>
      </c>
      <c r="E447" t="s">
        <v>1397</v>
      </c>
      <c r="F447" t="s">
        <v>1394</v>
      </c>
      <c r="G447" t="s">
        <v>1394</v>
      </c>
      <c r="H447" t="s">
        <v>1396</v>
      </c>
      <c r="I447" t="s">
        <v>1398</v>
      </c>
      <c r="J447" s="3">
        <f t="shared" si="6"/>
        <v>2.7395833333333335</v>
      </c>
    </row>
    <row r="448" spans="1:10" x14ac:dyDescent="0.3">
      <c r="A448" t="s">
        <v>498</v>
      </c>
      <c r="B448" t="s">
        <v>1398</v>
      </c>
      <c r="C448" t="s">
        <v>1395</v>
      </c>
      <c r="D448" t="s">
        <v>1393</v>
      </c>
      <c r="E448" t="s">
        <v>1396</v>
      </c>
      <c r="F448" t="s">
        <v>43</v>
      </c>
      <c r="G448" t="s">
        <v>1394</v>
      </c>
      <c r="H448" t="s">
        <v>1397</v>
      </c>
      <c r="I448" t="s">
        <v>1394</v>
      </c>
      <c r="J448" s="3">
        <f t="shared" si="6"/>
        <v>3.15625</v>
      </c>
    </row>
    <row r="449" spans="1:10" x14ac:dyDescent="0.3">
      <c r="A449" t="s">
        <v>499</v>
      </c>
      <c r="B449" t="s">
        <v>1395</v>
      </c>
      <c r="C449" t="s">
        <v>1393</v>
      </c>
      <c r="D449" t="s">
        <v>1394</v>
      </c>
      <c r="E449" t="s">
        <v>1395</v>
      </c>
      <c r="F449" t="s">
        <v>1399</v>
      </c>
      <c r="G449" t="s">
        <v>1399</v>
      </c>
      <c r="H449" t="s">
        <v>1394</v>
      </c>
      <c r="I449" t="s">
        <v>1395</v>
      </c>
      <c r="J449" s="3">
        <f t="shared" si="6"/>
        <v>3.21875</v>
      </c>
    </row>
    <row r="450" spans="1:10" x14ac:dyDescent="0.3">
      <c r="A450" t="s">
        <v>500</v>
      </c>
      <c r="B450" t="s">
        <v>1399</v>
      </c>
      <c r="C450" t="s">
        <v>1394</v>
      </c>
      <c r="D450" t="s">
        <v>1395</v>
      </c>
      <c r="E450" t="s">
        <v>1395</v>
      </c>
      <c r="F450" t="s">
        <v>1393</v>
      </c>
      <c r="G450" t="s">
        <v>1394</v>
      </c>
      <c r="H450" t="s">
        <v>1395</v>
      </c>
      <c r="I450" t="s">
        <v>1395</v>
      </c>
      <c r="J450" s="3">
        <f t="shared" si="6"/>
        <v>3.1875</v>
      </c>
    </row>
    <row r="451" spans="1:10" x14ac:dyDescent="0.3">
      <c r="A451" t="s">
        <v>501</v>
      </c>
      <c r="B451" t="s">
        <v>1399</v>
      </c>
      <c r="C451" t="s">
        <v>1394</v>
      </c>
      <c r="D451" t="s">
        <v>1394</v>
      </c>
      <c r="E451" t="s">
        <v>43</v>
      </c>
      <c r="F451" t="s">
        <v>1396</v>
      </c>
      <c r="G451" t="s">
        <v>1398</v>
      </c>
      <c r="H451" t="s">
        <v>1397</v>
      </c>
      <c r="I451" t="s">
        <v>1398</v>
      </c>
      <c r="J451" s="3">
        <f t="shared" ref="J451:J514" si="7">(VLOOKUP(B451,$N$27:$O$36, 2,0)*4+VLOOKUP(C451,$N$27:$O$36, 2,0)*4+VLOOKUP(D451,$N$27:$O$36, 2,0)*2+VLOOKUP(E451,$N$27:$O$36, 2,0)*3+VLOOKUP(F451,$N$27:$O$36, 2,0)*2+VLOOKUP(G451,$N$27:$O$36, 2,0)*2+VLOOKUP(H451,$N$27:$O$36, 2,0)*3+VLOOKUP(I451,$N$27:$O$36, 2,0)*4)/24</f>
        <v>2.5729166666666665</v>
      </c>
    </row>
    <row r="452" spans="1:10" x14ac:dyDescent="0.3">
      <c r="A452" t="s">
        <v>502</v>
      </c>
      <c r="B452" t="s">
        <v>1395</v>
      </c>
      <c r="C452" t="s">
        <v>1394</v>
      </c>
      <c r="D452" t="s">
        <v>1398</v>
      </c>
      <c r="E452" t="s">
        <v>1396</v>
      </c>
      <c r="F452" t="s">
        <v>1396</v>
      </c>
      <c r="G452" t="s">
        <v>1397</v>
      </c>
      <c r="H452" t="s">
        <v>1398</v>
      </c>
      <c r="I452" t="s">
        <v>1394</v>
      </c>
      <c r="J452" s="3">
        <f t="shared" si="7"/>
        <v>3.2083333333333335</v>
      </c>
    </row>
    <row r="453" spans="1:10" x14ac:dyDescent="0.3">
      <c r="A453" t="s">
        <v>503</v>
      </c>
      <c r="B453" t="s">
        <v>1395</v>
      </c>
      <c r="C453" t="s">
        <v>43</v>
      </c>
      <c r="D453" t="s">
        <v>1396</v>
      </c>
      <c r="E453" t="s">
        <v>1394</v>
      </c>
      <c r="F453" t="s">
        <v>1397</v>
      </c>
      <c r="G453" t="s">
        <v>1394</v>
      </c>
      <c r="H453" t="s">
        <v>1398</v>
      </c>
      <c r="I453" t="s">
        <v>1393</v>
      </c>
      <c r="J453" s="3">
        <f t="shared" si="7"/>
        <v>3.15625</v>
      </c>
    </row>
    <row r="454" spans="1:10" x14ac:dyDescent="0.3">
      <c r="A454" t="s">
        <v>504</v>
      </c>
      <c r="B454" t="s">
        <v>1398</v>
      </c>
      <c r="C454" t="s">
        <v>1396</v>
      </c>
      <c r="D454" t="s">
        <v>1395</v>
      </c>
      <c r="E454" t="s">
        <v>1399</v>
      </c>
      <c r="F454" t="s">
        <v>1394</v>
      </c>
      <c r="G454" t="s">
        <v>1394</v>
      </c>
      <c r="H454" t="s">
        <v>1393</v>
      </c>
      <c r="I454" t="s">
        <v>1396</v>
      </c>
      <c r="J454" s="3">
        <f t="shared" si="7"/>
        <v>2.9583333333333335</v>
      </c>
    </row>
    <row r="455" spans="1:10" x14ac:dyDescent="0.3">
      <c r="A455" t="s">
        <v>505</v>
      </c>
      <c r="B455" t="s">
        <v>1398</v>
      </c>
      <c r="C455" t="s">
        <v>1397</v>
      </c>
      <c r="D455" t="s">
        <v>1395</v>
      </c>
      <c r="E455" t="s">
        <v>1398</v>
      </c>
      <c r="F455" t="s">
        <v>1393</v>
      </c>
      <c r="G455" t="s">
        <v>1395</v>
      </c>
      <c r="H455" t="s">
        <v>1397</v>
      </c>
      <c r="I455" t="s">
        <v>1399</v>
      </c>
      <c r="J455" s="3">
        <f t="shared" si="7"/>
        <v>2.6145833333333335</v>
      </c>
    </row>
    <row r="456" spans="1:10" x14ac:dyDescent="0.3">
      <c r="A456" t="s">
        <v>506</v>
      </c>
      <c r="B456" t="s">
        <v>1397</v>
      </c>
      <c r="C456" t="s">
        <v>1397</v>
      </c>
      <c r="D456" t="s">
        <v>1398</v>
      </c>
      <c r="E456" t="s">
        <v>1395</v>
      </c>
      <c r="F456" t="s">
        <v>1399</v>
      </c>
      <c r="G456" t="s">
        <v>1397</v>
      </c>
      <c r="H456" t="s">
        <v>1395</v>
      </c>
      <c r="I456" t="s">
        <v>1395</v>
      </c>
      <c r="J456" s="3">
        <f t="shared" si="7"/>
        <v>2.8958333333333335</v>
      </c>
    </row>
    <row r="457" spans="1:10" x14ac:dyDescent="0.3">
      <c r="A457" t="s">
        <v>507</v>
      </c>
      <c r="B457" t="s">
        <v>1398</v>
      </c>
      <c r="C457" t="s">
        <v>1395</v>
      </c>
      <c r="D457" t="s">
        <v>1394</v>
      </c>
      <c r="E457" t="s">
        <v>43</v>
      </c>
      <c r="F457" t="s">
        <v>1396</v>
      </c>
      <c r="G457" t="s">
        <v>1396</v>
      </c>
      <c r="H457" t="s">
        <v>1397</v>
      </c>
      <c r="I457" t="s">
        <v>43</v>
      </c>
      <c r="J457" s="3">
        <f t="shared" si="7"/>
        <v>2.7395833333333335</v>
      </c>
    </row>
    <row r="458" spans="1:10" x14ac:dyDescent="0.3">
      <c r="A458" t="s">
        <v>508</v>
      </c>
      <c r="B458" t="s">
        <v>1393</v>
      </c>
      <c r="C458" t="s">
        <v>1395</v>
      </c>
      <c r="D458" t="s">
        <v>1393</v>
      </c>
      <c r="E458" t="s">
        <v>1395</v>
      </c>
      <c r="F458" t="s">
        <v>1396</v>
      </c>
      <c r="G458" t="s">
        <v>43</v>
      </c>
      <c r="H458" t="s">
        <v>1397</v>
      </c>
      <c r="I458" t="s">
        <v>1396</v>
      </c>
      <c r="J458" s="3">
        <f t="shared" si="7"/>
        <v>3.28125</v>
      </c>
    </row>
    <row r="459" spans="1:10" x14ac:dyDescent="0.3">
      <c r="A459" t="s">
        <v>509</v>
      </c>
      <c r="B459" t="s">
        <v>1395</v>
      </c>
      <c r="C459" t="s">
        <v>1396</v>
      </c>
      <c r="D459" t="s">
        <v>1394</v>
      </c>
      <c r="E459" t="s">
        <v>1398</v>
      </c>
      <c r="F459" t="s">
        <v>1398</v>
      </c>
      <c r="G459" t="s">
        <v>1398</v>
      </c>
      <c r="H459" t="s">
        <v>1394</v>
      </c>
      <c r="I459" t="s">
        <v>1397</v>
      </c>
      <c r="J459" s="3">
        <f t="shared" si="7"/>
        <v>3.0520833333333335</v>
      </c>
    </row>
    <row r="460" spans="1:10" x14ac:dyDescent="0.3">
      <c r="A460" t="s">
        <v>510</v>
      </c>
      <c r="B460" t="s">
        <v>1398</v>
      </c>
      <c r="C460" t="s">
        <v>1396</v>
      </c>
      <c r="D460" t="s">
        <v>43</v>
      </c>
      <c r="E460" t="s">
        <v>43</v>
      </c>
      <c r="F460" t="s">
        <v>1397</v>
      </c>
      <c r="G460" t="s">
        <v>1398</v>
      </c>
      <c r="H460" t="s">
        <v>1397</v>
      </c>
      <c r="I460" t="s">
        <v>43</v>
      </c>
      <c r="J460" s="3">
        <f t="shared" si="7"/>
        <v>2.4479166666666665</v>
      </c>
    </row>
    <row r="461" spans="1:10" x14ac:dyDescent="0.3">
      <c r="A461" t="s">
        <v>511</v>
      </c>
      <c r="B461" t="s">
        <v>1393</v>
      </c>
      <c r="C461" t="s">
        <v>1397</v>
      </c>
      <c r="D461" t="s">
        <v>1397</v>
      </c>
      <c r="E461" t="s">
        <v>1396</v>
      </c>
      <c r="F461" t="s">
        <v>1394</v>
      </c>
      <c r="G461" t="s">
        <v>1393</v>
      </c>
      <c r="H461" t="s">
        <v>1396</v>
      </c>
      <c r="I461" t="s">
        <v>1398</v>
      </c>
      <c r="J461" s="3">
        <f t="shared" si="7"/>
        <v>3.1666666666666665</v>
      </c>
    </row>
    <row r="462" spans="1:10" x14ac:dyDescent="0.3">
      <c r="A462" t="s">
        <v>512</v>
      </c>
      <c r="B462" t="s">
        <v>1394</v>
      </c>
      <c r="C462" t="s">
        <v>1394</v>
      </c>
      <c r="D462" t="s">
        <v>1394</v>
      </c>
      <c r="E462" t="s">
        <v>1393</v>
      </c>
      <c r="F462" t="s">
        <v>1397</v>
      </c>
      <c r="G462" t="s">
        <v>1400</v>
      </c>
      <c r="H462" t="s">
        <v>1398</v>
      </c>
      <c r="I462" t="s">
        <v>1395</v>
      </c>
      <c r="J462" s="3">
        <f t="shared" si="7"/>
        <v>3.1875</v>
      </c>
    </row>
    <row r="463" spans="1:10" x14ac:dyDescent="0.3">
      <c r="A463" t="s">
        <v>513</v>
      </c>
      <c r="B463" t="s">
        <v>1397</v>
      </c>
      <c r="C463" t="s">
        <v>1393</v>
      </c>
      <c r="D463" t="s">
        <v>1398</v>
      </c>
      <c r="E463" t="s">
        <v>1395</v>
      </c>
      <c r="F463" t="s">
        <v>1393</v>
      </c>
      <c r="G463" t="s">
        <v>1396</v>
      </c>
      <c r="H463" t="s">
        <v>1393</v>
      </c>
      <c r="I463" t="s">
        <v>1394</v>
      </c>
      <c r="J463" s="3">
        <f t="shared" si="7"/>
        <v>3.4791666666666665</v>
      </c>
    </row>
    <row r="464" spans="1:10" x14ac:dyDescent="0.3">
      <c r="A464" t="s">
        <v>514</v>
      </c>
      <c r="B464" t="s">
        <v>1393</v>
      </c>
      <c r="C464" t="s">
        <v>1395</v>
      </c>
      <c r="D464" t="s">
        <v>1396</v>
      </c>
      <c r="E464" t="s">
        <v>1398</v>
      </c>
      <c r="F464" t="s">
        <v>1393</v>
      </c>
      <c r="G464" t="s">
        <v>1398</v>
      </c>
      <c r="H464" t="s">
        <v>1393</v>
      </c>
      <c r="I464" t="s">
        <v>1394</v>
      </c>
      <c r="J464" s="3">
        <f t="shared" si="7"/>
        <v>3.4791666666666665</v>
      </c>
    </row>
    <row r="465" spans="1:10" x14ac:dyDescent="0.3">
      <c r="A465" t="s">
        <v>515</v>
      </c>
      <c r="B465" t="s">
        <v>1396</v>
      </c>
      <c r="C465" t="s">
        <v>1395</v>
      </c>
      <c r="D465" t="s">
        <v>1395</v>
      </c>
      <c r="E465" t="s">
        <v>1396</v>
      </c>
      <c r="F465" t="s">
        <v>1394</v>
      </c>
      <c r="G465" t="s">
        <v>1398</v>
      </c>
      <c r="H465" t="s">
        <v>1394</v>
      </c>
      <c r="I465" t="s">
        <v>1398</v>
      </c>
      <c r="J465" s="3">
        <f t="shared" si="7"/>
        <v>3.15625</v>
      </c>
    </row>
    <row r="466" spans="1:10" x14ac:dyDescent="0.3">
      <c r="A466" t="s">
        <v>516</v>
      </c>
      <c r="B466" t="s">
        <v>1398</v>
      </c>
      <c r="C466" t="s">
        <v>1396</v>
      </c>
      <c r="D466" t="s">
        <v>1393</v>
      </c>
      <c r="E466" t="s">
        <v>1398</v>
      </c>
      <c r="F466" t="s">
        <v>1393</v>
      </c>
      <c r="G466" t="s">
        <v>1396</v>
      </c>
      <c r="H466" t="s">
        <v>1395</v>
      </c>
      <c r="I466" t="s">
        <v>1393</v>
      </c>
      <c r="J466" s="3">
        <f t="shared" si="7"/>
        <v>3.25</v>
      </c>
    </row>
    <row r="467" spans="1:10" x14ac:dyDescent="0.3">
      <c r="A467" t="s">
        <v>517</v>
      </c>
      <c r="B467" t="s">
        <v>1397</v>
      </c>
      <c r="C467" t="s">
        <v>1397</v>
      </c>
      <c r="D467" t="s">
        <v>1396</v>
      </c>
      <c r="E467" t="s">
        <v>1395</v>
      </c>
      <c r="F467" t="s">
        <v>1396</v>
      </c>
      <c r="G467" t="s">
        <v>1396</v>
      </c>
      <c r="H467" t="s">
        <v>1394</v>
      </c>
      <c r="I467" t="s">
        <v>43</v>
      </c>
      <c r="J467" s="3">
        <f t="shared" si="7"/>
        <v>2.90625</v>
      </c>
    </row>
    <row r="468" spans="1:10" x14ac:dyDescent="0.3">
      <c r="A468" t="s">
        <v>518</v>
      </c>
      <c r="B468" t="s">
        <v>1400</v>
      </c>
      <c r="C468" t="s">
        <v>1398</v>
      </c>
      <c r="D468" t="s">
        <v>1399</v>
      </c>
      <c r="E468" t="s">
        <v>1395</v>
      </c>
      <c r="F468" t="s">
        <v>1400</v>
      </c>
      <c r="G468" t="s">
        <v>1393</v>
      </c>
      <c r="H468" t="s">
        <v>1396</v>
      </c>
      <c r="I468" t="s">
        <v>1393</v>
      </c>
      <c r="J468" s="3">
        <f t="shared" si="7"/>
        <v>2.3125</v>
      </c>
    </row>
    <row r="469" spans="1:10" x14ac:dyDescent="0.3">
      <c r="A469" t="s">
        <v>519</v>
      </c>
      <c r="B469" t="s">
        <v>1396</v>
      </c>
      <c r="C469" t="s">
        <v>1397</v>
      </c>
      <c r="D469" t="s">
        <v>1397</v>
      </c>
      <c r="E469" t="s">
        <v>1396</v>
      </c>
      <c r="F469" t="s">
        <v>1395</v>
      </c>
      <c r="G469" t="s">
        <v>1394</v>
      </c>
      <c r="H469" t="s">
        <v>1395</v>
      </c>
      <c r="I469" t="s">
        <v>1394</v>
      </c>
      <c r="J469" s="3">
        <f t="shared" si="7"/>
        <v>3.2291666666666665</v>
      </c>
    </row>
    <row r="470" spans="1:10" x14ac:dyDescent="0.3">
      <c r="A470" t="s">
        <v>520</v>
      </c>
      <c r="B470" t="s">
        <v>1394</v>
      </c>
      <c r="C470" t="s">
        <v>1397</v>
      </c>
      <c r="D470" t="s">
        <v>1396</v>
      </c>
      <c r="E470" t="s">
        <v>1395</v>
      </c>
      <c r="F470" t="s">
        <v>1394</v>
      </c>
      <c r="G470" t="s">
        <v>1397</v>
      </c>
      <c r="H470" t="s">
        <v>1394</v>
      </c>
      <c r="I470" t="s">
        <v>1394</v>
      </c>
      <c r="J470" s="3">
        <f t="shared" si="7"/>
        <v>3.40625</v>
      </c>
    </row>
    <row r="471" spans="1:10" x14ac:dyDescent="0.3">
      <c r="A471" t="s">
        <v>521</v>
      </c>
      <c r="B471" t="s">
        <v>1396</v>
      </c>
      <c r="C471" t="s">
        <v>1397</v>
      </c>
      <c r="D471" t="s">
        <v>1400</v>
      </c>
      <c r="E471" t="s">
        <v>1397</v>
      </c>
      <c r="F471" t="s">
        <v>1399</v>
      </c>
      <c r="G471" t="s">
        <v>43</v>
      </c>
      <c r="H471" t="s">
        <v>1397</v>
      </c>
      <c r="I471" t="s">
        <v>1397</v>
      </c>
      <c r="J471" s="3">
        <f t="shared" si="7"/>
        <v>2.3541666666666665</v>
      </c>
    </row>
    <row r="472" spans="1:10" x14ac:dyDescent="0.3">
      <c r="A472" t="s">
        <v>522</v>
      </c>
      <c r="B472" t="s">
        <v>1393</v>
      </c>
      <c r="C472" t="s">
        <v>1394</v>
      </c>
      <c r="D472" t="s">
        <v>1393</v>
      </c>
      <c r="E472" t="s">
        <v>43</v>
      </c>
      <c r="F472" t="s">
        <v>1397</v>
      </c>
      <c r="G472" t="s">
        <v>1397</v>
      </c>
      <c r="H472" t="s">
        <v>1394</v>
      </c>
      <c r="I472" t="s">
        <v>1395</v>
      </c>
      <c r="J472" s="3">
        <f t="shared" si="7"/>
        <v>3.3854166666666665</v>
      </c>
    </row>
    <row r="473" spans="1:10" x14ac:dyDescent="0.3">
      <c r="A473" t="s">
        <v>523</v>
      </c>
      <c r="B473" t="s">
        <v>1394</v>
      </c>
      <c r="C473" t="s">
        <v>1397</v>
      </c>
      <c r="D473" t="s">
        <v>1400</v>
      </c>
      <c r="E473" t="s">
        <v>1395</v>
      </c>
      <c r="F473" t="s">
        <v>1393</v>
      </c>
      <c r="G473" t="s">
        <v>1394</v>
      </c>
      <c r="H473" t="s">
        <v>1395</v>
      </c>
      <c r="I473" t="s">
        <v>43</v>
      </c>
      <c r="J473" s="3">
        <f t="shared" si="7"/>
        <v>2.9375</v>
      </c>
    </row>
    <row r="474" spans="1:10" x14ac:dyDescent="0.3">
      <c r="A474" t="s">
        <v>524</v>
      </c>
      <c r="B474" t="s">
        <v>1398</v>
      </c>
      <c r="C474" t="s">
        <v>1396</v>
      </c>
      <c r="D474" t="s">
        <v>1393</v>
      </c>
      <c r="E474" t="s">
        <v>1393</v>
      </c>
      <c r="F474" t="s">
        <v>1394</v>
      </c>
      <c r="G474" t="s">
        <v>1398</v>
      </c>
      <c r="H474" t="s">
        <v>1396</v>
      </c>
      <c r="I474" t="s">
        <v>1400</v>
      </c>
      <c r="J474" s="3">
        <f t="shared" si="7"/>
        <v>2.6458333333333335</v>
      </c>
    </row>
    <row r="475" spans="1:10" x14ac:dyDescent="0.3">
      <c r="A475" t="s">
        <v>525</v>
      </c>
      <c r="B475" t="s">
        <v>43</v>
      </c>
      <c r="C475" t="s">
        <v>1398</v>
      </c>
      <c r="D475" t="s">
        <v>1396</v>
      </c>
      <c r="E475" t="s">
        <v>1398</v>
      </c>
      <c r="F475" t="s">
        <v>1393</v>
      </c>
      <c r="G475" t="s">
        <v>1393</v>
      </c>
      <c r="H475" t="s">
        <v>1396</v>
      </c>
      <c r="I475" t="s">
        <v>1396</v>
      </c>
      <c r="J475" s="3">
        <f t="shared" si="7"/>
        <v>2.8541666666666665</v>
      </c>
    </row>
    <row r="476" spans="1:10" x14ac:dyDescent="0.3">
      <c r="A476" t="s">
        <v>526</v>
      </c>
      <c r="B476" t="s">
        <v>1394</v>
      </c>
      <c r="C476" t="s">
        <v>1394</v>
      </c>
      <c r="D476" t="s">
        <v>1393</v>
      </c>
      <c r="E476" t="s">
        <v>43</v>
      </c>
      <c r="F476" t="s">
        <v>1397</v>
      </c>
      <c r="G476" t="s">
        <v>1399</v>
      </c>
      <c r="H476" t="s">
        <v>1400</v>
      </c>
      <c r="I476" t="s">
        <v>1395</v>
      </c>
      <c r="J476" s="3">
        <f t="shared" si="7"/>
        <v>2.7291666666666665</v>
      </c>
    </row>
    <row r="477" spans="1:10" x14ac:dyDescent="0.3">
      <c r="A477" t="s">
        <v>527</v>
      </c>
      <c r="B477" t="s">
        <v>1397</v>
      </c>
      <c r="C477" t="s">
        <v>1395</v>
      </c>
      <c r="D477" t="s">
        <v>1398</v>
      </c>
      <c r="E477" t="s">
        <v>1398</v>
      </c>
      <c r="F477" t="s">
        <v>1393</v>
      </c>
      <c r="G477" t="s">
        <v>1393</v>
      </c>
      <c r="H477" t="s">
        <v>1394</v>
      </c>
      <c r="I477" t="s">
        <v>1396</v>
      </c>
      <c r="J477" s="3">
        <f t="shared" si="7"/>
        <v>3.1979166666666665</v>
      </c>
    </row>
    <row r="478" spans="1:10" x14ac:dyDescent="0.3">
      <c r="A478" t="s">
        <v>528</v>
      </c>
      <c r="B478" t="s">
        <v>1395</v>
      </c>
      <c r="C478" t="s">
        <v>1393</v>
      </c>
      <c r="D478" t="s">
        <v>1398</v>
      </c>
      <c r="E478" t="s">
        <v>1398</v>
      </c>
      <c r="F478" t="s">
        <v>1396</v>
      </c>
      <c r="G478" t="s">
        <v>1393</v>
      </c>
      <c r="H478" t="s">
        <v>43</v>
      </c>
      <c r="I478" t="s">
        <v>1396</v>
      </c>
      <c r="J478" s="3">
        <f t="shared" si="7"/>
        <v>3.1041666666666665</v>
      </c>
    </row>
    <row r="479" spans="1:10" x14ac:dyDescent="0.3">
      <c r="A479" t="s">
        <v>529</v>
      </c>
      <c r="B479" t="s">
        <v>1393</v>
      </c>
      <c r="C479" t="s">
        <v>1395</v>
      </c>
      <c r="D479" t="s">
        <v>1396</v>
      </c>
      <c r="E479" t="s">
        <v>43</v>
      </c>
      <c r="F479" t="s">
        <v>1396</v>
      </c>
      <c r="G479" t="s">
        <v>1397</v>
      </c>
      <c r="H479" t="s">
        <v>1394</v>
      </c>
      <c r="I479" t="s">
        <v>1394</v>
      </c>
      <c r="J479" s="3">
        <f t="shared" si="7"/>
        <v>3.3229166666666665</v>
      </c>
    </row>
    <row r="480" spans="1:10" x14ac:dyDescent="0.3">
      <c r="A480" t="s">
        <v>530</v>
      </c>
      <c r="B480" t="s">
        <v>43</v>
      </c>
      <c r="C480" t="s">
        <v>1395</v>
      </c>
      <c r="D480" t="s">
        <v>1393</v>
      </c>
      <c r="E480" t="s">
        <v>1396</v>
      </c>
      <c r="F480" t="s">
        <v>1393</v>
      </c>
      <c r="G480" t="s">
        <v>1394</v>
      </c>
      <c r="H480" t="s">
        <v>1396</v>
      </c>
      <c r="I480" t="s">
        <v>1396</v>
      </c>
      <c r="J480" s="3">
        <f t="shared" si="7"/>
        <v>3.1458333333333335</v>
      </c>
    </row>
    <row r="481" spans="1:10" x14ac:dyDescent="0.3">
      <c r="A481" t="s">
        <v>531</v>
      </c>
      <c r="B481" t="s">
        <v>1397</v>
      </c>
      <c r="C481" t="s">
        <v>1397</v>
      </c>
      <c r="D481" t="s">
        <v>1395</v>
      </c>
      <c r="E481" t="s">
        <v>1393</v>
      </c>
      <c r="F481" t="s">
        <v>1397</v>
      </c>
      <c r="G481" t="s">
        <v>1393</v>
      </c>
      <c r="H481" t="s">
        <v>1396</v>
      </c>
      <c r="I481" t="s">
        <v>1395</v>
      </c>
      <c r="J481" s="3">
        <f t="shared" si="7"/>
        <v>3.2291666666666665</v>
      </c>
    </row>
    <row r="482" spans="1:10" x14ac:dyDescent="0.3">
      <c r="A482" t="s">
        <v>532</v>
      </c>
      <c r="B482" t="s">
        <v>1397</v>
      </c>
      <c r="C482" t="s">
        <v>1397</v>
      </c>
      <c r="D482" t="s">
        <v>1394</v>
      </c>
      <c r="E482" t="s">
        <v>1397</v>
      </c>
      <c r="F482" t="s">
        <v>1397</v>
      </c>
      <c r="G482" t="s">
        <v>1396</v>
      </c>
      <c r="H482" t="s">
        <v>1393</v>
      </c>
      <c r="I482" t="s">
        <v>43</v>
      </c>
      <c r="J482" s="3">
        <f t="shared" si="7"/>
        <v>2.8854166666666665</v>
      </c>
    </row>
    <row r="483" spans="1:10" x14ac:dyDescent="0.3">
      <c r="A483" t="s">
        <v>533</v>
      </c>
      <c r="B483" t="s">
        <v>1396</v>
      </c>
      <c r="C483" t="s">
        <v>1393</v>
      </c>
      <c r="D483" t="s">
        <v>1394</v>
      </c>
      <c r="E483" t="s">
        <v>1400</v>
      </c>
      <c r="F483" t="s">
        <v>1394</v>
      </c>
      <c r="G483" t="s">
        <v>1395</v>
      </c>
      <c r="H483" t="s">
        <v>1398</v>
      </c>
      <c r="I483" t="s">
        <v>1398</v>
      </c>
      <c r="J483" s="3">
        <f t="shared" si="7"/>
        <v>2.8125</v>
      </c>
    </row>
    <row r="484" spans="1:10" x14ac:dyDescent="0.3">
      <c r="A484" t="s">
        <v>534</v>
      </c>
      <c r="B484" t="s">
        <v>1397</v>
      </c>
      <c r="C484" t="s">
        <v>1397</v>
      </c>
      <c r="D484" t="s">
        <v>1393</v>
      </c>
      <c r="E484" t="s">
        <v>1393</v>
      </c>
      <c r="F484" t="s">
        <v>1400</v>
      </c>
      <c r="G484" t="s">
        <v>1398</v>
      </c>
      <c r="H484" t="s">
        <v>1393</v>
      </c>
      <c r="I484" t="s">
        <v>1393</v>
      </c>
      <c r="J484" s="3">
        <f t="shared" si="7"/>
        <v>3.125</v>
      </c>
    </row>
    <row r="485" spans="1:10" x14ac:dyDescent="0.3">
      <c r="A485" t="s">
        <v>51</v>
      </c>
      <c r="B485" t="s">
        <v>1394</v>
      </c>
      <c r="C485" t="s">
        <v>1399</v>
      </c>
      <c r="D485" t="s">
        <v>1394</v>
      </c>
      <c r="E485" t="s">
        <v>1397</v>
      </c>
      <c r="F485" t="s">
        <v>1399</v>
      </c>
      <c r="G485" t="s">
        <v>1397</v>
      </c>
      <c r="H485" t="s">
        <v>43</v>
      </c>
      <c r="I485" t="s">
        <v>1394</v>
      </c>
      <c r="J485" s="3">
        <f t="shared" si="7"/>
        <v>2.6354166666666665</v>
      </c>
    </row>
    <row r="486" spans="1:10" x14ac:dyDescent="0.3">
      <c r="A486" t="s">
        <v>535</v>
      </c>
      <c r="B486" t="s">
        <v>1394</v>
      </c>
      <c r="C486" t="s">
        <v>1393</v>
      </c>
      <c r="D486" t="s">
        <v>1398</v>
      </c>
      <c r="E486" t="s">
        <v>1393</v>
      </c>
      <c r="F486" t="s">
        <v>1400</v>
      </c>
      <c r="G486" t="s">
        <v>1397</v>
      </c>
      <c r="H486" t="s">
        <v>1394</v>
      </c>
      <c r="I486" t="s">
        <v>1398</v>
      </c>
      <c r="J486" s="3">
        <f t="shared" si="7"/>
        <v>3.1145833333333335</v>
      </c>
    </row>
    <row r="487" spans="1:10" x14ac:dyDescent="0.3">
      <c r="A487" t="s">
        <v>536</v>
      </c>
      <c r="B487" t="s">
        <v>1394</v>
      </c>
      <c r="C487" t="s">
        <v>1396</v>
      </c>
      <c r="D487" t="s">
        <v>1393</v>
      </c>
      <c r="E487" t="s">
        <v>1398</v>
      </c>
      <c r="F487" t="s">
        <v>43</v>
      </c>
      <c r="G487" t="s">
        <v>43</v>
      </c>
      <c r="H487" t="s">
        <v>1393</v>
      </c>
      <c r="I487" t="s">
        <v>43</v>
      </c>
      <c r="J487" s="3">
        <f t="shared" si="7"/>
        <v>2.9375</v>
      </c>
    </row>
    <row r="488" spans="1:10" x14ac:dyDescent="0.3">
      <c r="A488" t="s">
        <v>537</v>
      </c>
      <c r="B488" t="s">
        <v>1396</v>
      </c>
      <c r="C488" t="s">
        <v>1398</v>
      </c>
      <c r="D488" t="s">
        <v>1396</v>
      </c>
      <c r="E488" t="s">
        <v>1396</v>
      </c>
      <c r="F488" t="s">
        <v>1396</v>
      </c>
      <c r="G488" t="s">
        <v>1398</v>
      </c>
      <c r="H488" t="s">
        <v>1393</v>
      </c>
      <c r="I488" t="s">
        <v>1393</v>
      </c>
      <c r="J488" s="3">
        <f t="shared" si="7"/>
        <v>3.1666666666666665</v>
      </c>
    </row>
    <row r="489" spans="1:10" x14ac:dyDescent="0.3">
      <c r="A489" t="s">
        <v>538</v>
      </c>
      <c r="B489" t="s">
        <v>1396</v>
      </c>
      <c r="C489" t="s">
        <v>1394</v>
      </c>
      <c r="D489" t="s">
        <v>1395</v>
      </c>
      <c r="E489" t="s">
        <v>1393</v>
      </c>
      <c r="F489" t="s">
        <v>1397</v>
      </c>
      <c r="G489" t="s">
        <v>1393</v>
      </c>
      <c r="H489" t="s">
        <v>1398</v>
      </c>
      <c r="I489" t="s">
        <v>1398</v>
      </c>
      <c r="J489" s="3">
        <f t="shared" si="7"/>
        <v>3.2083333333333335</v>
      </c>
    </row>
    <row r="490" spans="1:10" x14ac:dyDescent="0.3">
      <c r="A490" t="s">
        <v>539</v>
      </c>
      <c r="B490" t="s">
        <v>1396</v>
      </c>
      <c r="C490" t="s">
        <v>1393</v>
      </c>
      <c r="D490" t="s">
        <v>1397</v>
      </c>
      <c r="E490" t="s">
        <v>1394</v>
      </c>
      <c r="F490" t="s">
        <v>1395</v>
      </c>
      <c r="G490" t="s">
        <v>1393</v>
      </c>
      <c r="H490" t="s">
        <v>1400</v>
      </c>
      <c r="I490" t="s">
        <v>1396</v>
      </c>
      <c r="J490" s="3">
        <f t="shared" si="7"/>
        <v>2.9895833333333335</v>
      </c>
    </row>
    <row r="491" spans="1:10" x14ac:dyDescent="0.3">
      <c r="A491" t="s">
        <v>540</v>
      </c>
      <c r="B491" t="s">
        <v>1395</v>
      </c>
      <c r="C491" t="s">
        <v>1393</v>
      </c>
      <c r="D491" t="s">
        <v>1397</v>
      </c>
      <c r="E491" t="s">
        <v>1398</v>
      </c>
      <c r="F491" t="s">
        <v>1398</v>
      </c>
      <c r="G491" t="s">
        <v>1393</v>
      </c>
      <c r="H491" t="s">
        <v>1395</v>
      </c>
      <c r="I491" t="s">
        <v>1395</v>
      </c>
      <c r="J491" s="3">
        <f t="shared" si="7"/>
        <v>3.3541666666666665</v>
      </c>
    </row>
    <row r="492" spans="1:10" x14ac:dyDescent="0.3">
      <c r="A492" t="s">
        <v>541</v>
      </c>
      <c r="B492" t="s">
        <v>1398</v>
      </c>
      <c r="C492" t="s">
        <v>1393</v>
      </c>
      <c r="D492" t="s">
        <v>1396</v>
      </c>
      <c r="E492" t="s">
        <v>1400</v>
      </c>
      <c r="F492" t="s">
        <v>1398</v>
      </c>
      <c r="G492" t="s">
        <v>1393</v>
      </c>
      <c r="H492" t="s">
        <v>1393</v>
      </c>
      <c r="I492" t="s">
        <v>1393</v>
      </c>
      <c r="J492" s="3">
        <f t="shared" si="7"/>
        <v>3.0416666666666665</v>
      </c>
    </row>
    <row r="493" spans="1:10" x14ac:dyDescent="0.3">
      <c r="A493" t="s">
        <v>542</v>
      </c>
      <c r="B493" t="s">
        <v>1397</v>
      </c>
      <c r="C493" t="s">
        <v>1396</v>
      </c>
      <c r="D493" t="s">
        <v>1396</v>
      </c>
      <c r="E493" t="s">
        <v>1396</v>
      </c>
      <c r="F493" t="s">
        <v>1395</v>
      </c>
      <c r="G493" t="s">
        <v>1396</v>
      </c>
      <c r="H493" t="s">
        <v>1397</v>
      </c>
      <c r="I493" t="s">
        <v>43</v>
      </c>
      <c r="J493" s="3">
        <f t="shared" si="7"/>
        <v>2.8020833333333335</v>
      </c>
    </row>
    <row r="494" spans="1:10" x14ac:dyDescent="0.3">
      <c r="A494" t="s">
        <v>543</v>
      </c>
      <c r="B494" t="s">
        <v>1397</v>
      </c>
      <c r="C494" t="s">
        <v>1398</v>
      </c>
      <c r="D494" t="s">
        <v>43</v>
      </c>
      <c r="E494" t="s">
        <v>1398</v>
      </c>
      <c r="F494" t="s">
        <v>1397</v>
      </c>
      <c r="G494" t="s">
        <v>1393</v>
      </c>
      <c r="H494" t="s">
        <v>1397</v>
      </c>
      <c r="I494" t="s">
        <v>1398</v>
      </c>
      <c r="J494" s="3">
        <f t="shared" si="7"/>
        <v>2.6770833333333335</v>
      </c>
    </row>
    <row r="495" spans="1:10" x14ac:dyDescent="0.3">
      <c r="A495" t="s">
        <v>544</v>
      </c>
      <c r="B495" t="s">
        <v>1395</v>
      </c>
      <c r="C495" t="s">
        <v>43</v>
      </c>
      <c r="D495" t="s">
        <v>1394</v>
      </c>
      <c r="E495" t="s">
        <v>1399</v>
      </c>
      <c r="F495" t="s">
        <v>1395</v>
      </c>
      <c r="G495" t="s">
        <v>1397</v>
      </c>
      <c r="H495" t="s">
        <v>1394</v>
      </c>
      <c r="I495" t="s">
        <v>1395</v>
      </c>
      <c r="J495" s="3">
        <f t="shared" si="7"/>
        <v>2.9270833333333335</v>
      </c>
    </row>
    <row r="496" spans="1:10" x14ac:dyDescent="0.3">
      <c r="A496" t="s">
        <v>545</v>
      </c>
      <c r="B496" t="s">
        <v>1395</v>
      </c>
      <c r="C496" t="s">
        <v>1395</v>
      </c>
      <c r="D496" t="s">
        <v>1393</v>
      </c>
      <c r="E496" t="s">
        <v>1395</v>
      </c>
      <c r="F496" t="s">
        <v>1400</v>
      </c>
      <c r="G496" t="s">
        <v>1397</v>
      </c>
      <c r="H496" t="s">
        <v>1399</v>
      </c>
      <c r="I496" t="s">
        <v>1398</v>
      </c>
      <c r="J496" s="3">
        <f t="shared" si="7"/>
        <v>2.7083333333333335</v>
      </c>
    </row>
    <row r="497" spans="1:10" x14ac:dyDescent="0.3">
      <c r="A497" t="s">
        <v>546</v>
      </c>
      <c r="B497" t="s">
        <v>1398</v>
      </c>
      <c r="C497" t="s">
        <v>1400</v>
      </c>
      <c r="D497" t="s">
        <v>1398</v>
      </c>
      <c r="E497" t="s">
        <v>1394</v>
      </c>
      <c r="F497" t="s">
        <v>1394</v>
      </c>
      <c r="G497" t="s">
        <v>1395</v>
      </c>
      <c r="H497" t="s">
        <v>1393</v>
      </c>
      <c r="I497" t="s">
        <v>1394</v>
      </c>
      <c r="J497" s="3">
        <f t="shared" si="7"/>
        <v>2.8229166666666665</v>
      </c>
    </row>
    <row r="498" spans="1:10" x14ac:dyDescent="0.3">
      <c r="A498" t="s">
        <v>547</v>
      </c>
      <c r="B498" t="s">
        <v>43</v>
      </c>
      <c r="C498" t="s">
        <v>43</v>
      </c>
      <c r="D498" t="s">
        <v>1395</v>
      </c>
      <c r="E498" t="s">
        <v>1398</v>
      </c>
      <c r="F498" t="s">
        <v>1398</v>
      </c>
      <c r="G498" t="s">
        <v>43</v>
      </c>
      <c r="H498" t="s">
        <v>1398</v>
      </c>
      <c r="I498" t="s">
        <v>1396</v>
      </c>
      <c r="J498" s="3">
        <f t="shared" si="7"/>
        <v>2.4583333333333335</v>
      </c>
    </row>
    <row r="499" spans="1:10" x14ac:dyDescent="0.3">
      <c r="A499" t="s">
        <v>548</v>
      </c>
      <c r="B499" t="s">
        <v>1393</v>
      </c>
      <c r="C499" t="s">
        <v>1398</v>
      </c>
      <c r="D499" t="s">
        <v>1395</v>
      </c>
      <c r="E499" t="s">
        <v>1396</v>
      </c>
      <c r="F499" t="s">
        <v>1395</v>
      </c>
      <c r="G499" t="s">
        <v>1396</v>
      </c>
      <c r="H499" t="s">
        <v>1399</v>
      </c>
      <c r="I499" t="s">
        <v>1394</v>
      </c>
      <c r="J499" s="3">
        <f t="shared" si="7"/>
        <v>3.0416666666666665</v>
      </c>
    </row>
    <row r="500" spans="1:10" x14ac:dyDescent="0.3">
      <c r="A500" t="s">
        <v>549</v>
      </c>
      <c r="B500" t="s">
        <v>1396</v>
      </c>
      <c r="C500" t="s">
        <v>1397</v>
      </c>
      <c r="D500" t="s">
        <v>1396</v>
      </c>
      <c r="E500" t="s">
        <v>1399</v>
      </c>
      <c r="F500" t="s">
        <v>1395</v>
      </c>
      <c r="G500" t="s">
        <v>43</v>
      </c>
      <c r="H500" t="s">
        <v>1397</v>
      </c>
      <c r="I500" t="s">
        <v>1399</v>
      </c>
      <c r="J500" s="3">
        <f t="shared" si="7"/>
        <v>2.3020833333333335</v>
      </c>
    </row>
    <row r="501" spans="1:10" x14ac:dyDescent="0.3">
      <c r="A501" t="s">
        <v>550</v>
      </c>
      <c r="B501" t="s">
        <v>1393</v>
      </c>
      <c r="C501" t="s">
        <v>1394</v>
      </c>
      <c r="D501" t="s">
        <v>1394</v>
      </c>
      <c r="E501" t="s">
        <v>43</v>
      </c>
      <c r="F501" t="s">
        <v>1393</v>
      </c>
      <c r="G501" t="s">
        <v>1394</v>
      </c>
      <c r="H501" t="s">
        <v>1397</v>
      </c>
      <c r="I501" t="s">
        <v>1400</v>
      </c>
      <c r="J501" s="3">
        <f t="shared" si="7"/>
        <v>2.84375</v>
      </c>
    </row>
    <row r="502" spans="1:10" x14ac:dyDescent="0.3">
      <c r="A502" t="s">
        <v>551</v>
      </c>
      <c r="B502" t="s">
        <v>1394</v>
      </c>
      <c r="C502" t="s">
        <v>1395</v>
      </c>
      <c r="D502" t="s">
        <v>1397</v>
      </c>
      <c r="E502" t="s">
        <v>1397</v>
      </c>
      <c r="F502" t="s">
        <v>1397</v>
      </c>
      <c r="G502" t="s">
        <v>1398</v>
      </c>
      <c r="H502" t="s">
        <v>1394</v>
      </c>
      <c r="I502" t="s">
        <v>1394</v>
      </c>
      <c r="J502" s="3">
        <f t="shared" si="7"/>
        <v>3.3125</v>
      </c>
    </row>
    <row r="503" spans="1:10" x14ac:dyDescent="0.3">
      <c r="A503" t="s">
        <v>552</v>
      </c>
      <c r="B503" t="s">
        <v>1393</v>
      </c>
      <c r="C503" t="s">
        <v>1397</v>
      </c>
      <c r="D503" t="s">
        <v>1394</v>
      </c>
      <c r="E503" t="s">
        <v>1394</v>
      </c>
      <c r="F503" t="s">
        <v>1399</v>
      </c>
      <c r="G503" t="s">
        <v>1397</v>
      </c>
      <c r="H503" t="s">
        <v>1396</v>
      </c>
      <c r="I503" t="s">
        <v>1397</v>
      </c>
      <c r="J503" s="3">
        <f t="shared" si="7"/>
        <v>3.0520833333333335</v>
      </c>
    </row>
    <row r="504" spans="1:10" x14ac:dyDescent="0.3">
      <c r="A504" t="s">
        <v>553</v>
      </c>
      <c r="B504" t="s">
        <v>1396</v>
      </c>
      <c r="C504" t="s">
        <v>1397</v>
      </c>
      <c r="D504" t="s">
        <v>1395</v>
      </c>
      <c r="E504" t="s">
        <v>1393</v>
      </c>
      <c r="F504" t="s">
        <v>1393</v>
      </c>
      <c r="G504" t="s">
        <v>1393</v>
      </c>
      <c r="H504" t="s">
        <v>1395</v>
      </c>
      <c r="I504" t="s">
        <v>1393</v>
      </c>
      <c r="J504" s="3">
        <f t="shared" si="7"/>
        <v>3.5208333333333335</v>
      </c>
    </row>
    <row r="505" spans="1:10" x14ac:dyDescent="0.3">
      <c r="A505" t="s">
        <v>554</v>
      </c>
      <c r="B505" t="s">
        <v>1393</v>
      </c>
      <c r="C505" t="s">
        <v>1396</v>
      </c>
      <c r="D505" t="s">
        <v>1399</v>
      </c>
      <c r="E505" t="s">
        <v>1397</v>
      </c>
      <c r="F505" t="s">
        <v>1394</v>
      </c>
      <c r="G505" t="s">
        <v>1398</v>
      </c>
      <c r="H505" t="s">
        <v>1394</v>
      </c>
      <c r="I505" t="s">
        <v>1393</v>
      </c>
      <c r="J505" s="3">
        <f t="shared" si="7"/>
        <v>3.25</v>
      </c>
    </row>
    <row r="506" spans="1:10" x14ac:dyDescent="0.3">
      <c r="A506" t="s">
        <v>555</v>
      </c>
      <c r="B506" t="s">
        <v>1395</v>
      </c>
      <c r="C506" t="s">
        <v>1395</v>
      </c>
      <c r="D506" t="s">
        <v>1397</v>
      </c>
      <c r="E506" t="s">
        <v>1395</v>
      </c>
      <c r="F506" t="s">
        <v>1397</v>
      </c>
      <c r="G506" t="s">
        <v>1393</v>
      </c>
      <c r="H506" t="s">
        <v>1399</v>
      </c>
      <c r="I506" t="s">
        <v>1395</v>
      </c>
      <c r="J506" s="3">
        <f t="shared" si="7"/>
        <v>3.1041666666666665</v>
      </c>
    </row>
    <row r="507" spans="1:10" x14ac:dyDescent="0.3">
      <c r="A507" t="s">
        <v>556</v>
      </c>
      <c r="B507" t="s">
        <v>1398</v>
      </c>
      <c r="C507" t="s">
        <v>1393</v>
      </c>
      <c r="D507" t="s">
        <v>1398</v>
      </c>
      <c r="E507" t="s">
        <v>1394</v>
      </c>
      <c r="F507" t="s">
        <v>43</v>
      </c>
      <c r="G507" t="s">
        <v>1398</v>
      </c>
      <c r="H507" t="s">
        <v>1397</v>
      </c>
      <c r="I507" t="s">
        <v>1394</v>
      </c>
      <c r="J507" s="3">
        <f t="shared" si="7"/>
        <v>3.1041666666666665</v>
      </c>
    </row>
    <row r="508" spans="1:10" x14ac:dyDescent="0.3">
      <c r="A508" t="s">
        <v>557</v>
      </c>
      <c r="B508" t="s">
        <v>1393</v>
      </c>
      <c r="C508" t="s">
        <v>1394</v>
      </c>
      <c r="D508" t="s">
        <v>43</v>
      </c>
      <c r="E508" t="s">
        <v>1394</v>
      </c>
      <c r="F508" t="s">
        <v>1397</v>
      </c>
      <c r="G508" t="s">
        <v>1396</v>
      </c>
      <c r="H508" t="s">
        <v>1397</v>
      </c>
      <c r="I508" t="s">
        <v>1394</v>
      </c>
      <c r="J508" s="3">
        <f t="shared" si="7"/>
        <v>3.375</v>
      </c>
    </row>
    <row r="509" spans="1:10" x14ac:dyDescent="0.3">
      <c r="A509" t="s">
        <v>558</v>
      </c>
      <c r="B509" t="s">
        <v>1393</v>
      </c>
      <c r="C509" t="s">
        <v>1393</v>
      </c>
      <c r="D509" t="s">
        <v>1400</v>
      </c>
      <c r="E509" t="s">
        <v>1395</v>
      </c>
      <c r="F509" t="s">
        <v>1397</v>
      </c>
      <c r="G509" t="s">
        <v>1396</v>
      </c>
      <c r="H509" t="s">
        <v>1394</v>
      </c>
      <c r="I509" t="s">
        <v>1393</v>
      </c>
      <c r="J509" s="3">
        <f t="shared" si="7"/>
        <v>3.3854166666666665</v>
      </c>
    </row>
    <row r="510" spans="1:10" x14ac:dyDescent="0.3">
      <c r="A510" t="s">
        <v>559</v>
      </c>
      <c r="B510" t="s">
        <v>1393</v>
      </c>
      <c r="C510" t="s">
        <v>43</v>
      </c>
      <c r="D510" t="s">
        <v>1393</v>
      </c>
      <c r="E510" t="s">
        <v>1399</v>
      </c>
      <c r="F510" t="s">
        <v>1395</v>
      </c>
      <c r="G510" t="s">
        <v>1397</v>
      </c>
      <c r="H510" t="s">
        <v>1393</v>
      </c>
      <c r="I510" t="s">
        <v>1398</v>
      </c>
      <c r="J510" s="3">
        <f t="shared" si="7"/>
        <v>2.8958333333333335</v>
      </c>
    </row>
    <row r="511" spans="1:10" x14ac:dyDescent="0.3">
      <c r="A511" t="s">
        <v>560</v>
      </c>
      <c r="B511" t="s">
        <v>1394</v>
      </c>
      <c r="C511" t="s">
        <v>1395</v>
      </c>
      <c r="D511" t="s">
        <v>1396</v>
      </c>
      <c r="E511" t="s">
        <v>1393</v>
      </c>
      <c r="F511" t="s">
        <v>1394</v>
      </c>
      <c r="G511" t="s">
        <v>1398</v>
      </c>
      <c r="H511" t="s">
        <v>1394</v>
      </c>
      <c r="I511" t="s">
        <v>1395</v>
      </c>
      <c r="J511" s="3">
        <f t="shared" si="7"/>
        <v>3.53125</v>
      </c>
    </row>
    <row r="512" spans="1:10" x14ac:dyDescent="0.3">
      <c r="A512" t="s">
        <v>561</v>
      </c>
      <c r="B512" t="s">
        <v>1398</v>
      </c>
      <c r="C512" t="s">
        <v>1394</v>
      </c>
      <c r="D512" t="s">
        <v>1394</v>
      </c>
      <c r="E512" t="s">
        <v>1394</v>
      </c>
      <c r="F512" t="s">
        <v>1395</v>
      </c>
      <c r="G512" t="s">
        <v>1395</v>
      </c>
      <c r="H512" t="s">
        <v>1397</v>
      </c>
      <c r="I512" t="s">
        <v>1396</v>
      </c>
      <c r="J512" s="3">
        <f t="shared" si="7"/>
        <v>3.25</v>
      </c>
    </row>
    <row r="513" spans="1:10" x14ac:dyDescent="0.3">
      <c r="A513" t="s">
        <v>562</v>
      </c>
      <c r="B513" t="s">
        <v>43</v>
      </c>
      <c r="C513" t="s">
        <v>1393</v>
      </c>
      <c r="D513" t="s">
        <v>1397</v>
      </c>
      <c r="E513" t="s">
        <v>1398</v>
      </c>
      <c r="F513" t="s">
        <v>1394</v>
      </c>
      <c r="G513" t="s">
        <v>1393</v>
      </c>
      <c r="H513" t="s">
        <v>1395</v>
      </c>
      <c r="I513" t="s">
        <v>1393</v>
      </c>
      <c r="J513" s="3">
        <f t="shared" si="7"/>
        <v>3.2916666666666665</v>
      </c>
    </row>
    <row r="514" spans="1:10" x14ac:dyDescent="0.3">
      <c r="A514" t="s">
        <v>563</v>
      </c>
      <c r="B514" t="s">
        <v>1396</v>
      </c>
      <c r="C514" t="s">
        <v>1397</v>
      </c>
      <c r="D514" t="s">
        <v>1393</v>
      </c>
      <c r="E514" t="s">
        <v>1393</v>
      </c>
      <c r="F514" t="s">
        <v>1396</v>
      </c>
      <c r="G514" t="s">
        <v>1394</v>
      </c>
      <c r="H514" t="s">
        <v>1394</v>
      </c>
      <c r="I514" t="s">
        <v>1395</v>
      </c>
      <c r="J514" s="3">
        <f t="shared" si="7"/>
        <v>3.40625</v>
      </c>
    </row>
    <row r="515" spans="1:10" x14ac:dyDescent="0.3">
      <c r="A515" t="s">
        <v>564</v>
      </c>
      <c r="B515" t="s">
        <v>1393</v>
      </c>
      <c r="C515" t="s">
        <v>1393</v>
      </c>
      <c r="D515" t="s">
        <v>1395</v>
      </c>
      <c r="E515" t="s">
        <v>1396</v>
      </c>
      <c r="F515" t="s">
        <v>1399</v>
      </c>
      <c r="G515" t="s">
        <v>1396</v>
      </c>
      <c r="H515" t="s">
        <v>1393</v>
      </c>
      <c r="I515" t="s">
        <v>1394</v>
      </c>
      <c r="J515" s="3">
        <f t="shared" ref="J515:J578" si="8">(VLOOKUP(B515,$N$27:$O$36, 2,0)*4+VLOOKUP(C515,$N$27:$O$36, 2,0)*4+VLOOKUP(D515,$N$27:$O$36, 2,0)*2+VLOOKUP(E515,$N$27:$O$36, 2,0)*3+VLOOKUP(F515,$N$27:$O$36, 2,0)*2+VLOOKUP(G515,$N$27:$O$36, 2,0)*2+VLOOKUP(H515,$N$27:$O$36, 2,0)*3+VLOOKUP(I515,$N$27:$O$36, 2,0)*4)/24</f>
        <v>3.4583333333333335</v>
      </c>
    </row>
    <row r="516" spans="1:10" x14ac:dyDescent="0.3">
      <c r="A516" t="s">
        <v>565</v>
      </c>
      <c r="B516" t="s">
        <v>1397</v>
      </c>
      <c r="C516" t="s">
        <v>1396</v>
      </c>
      <c r="D516" t="s">
        <v>43</v>
      </c>
      <c r="E516" t="s">
        <v>1399</v>
      </c>
      <c r="F516" t="s">
        <v>43</v>
      </c>
      <c r="G516" t="s">
        <v>1393</v>
      </c>
      <c r="H516" t="s">
        <v>1399</v>
      </c>
      <c r="I516" t="s">
        <v>1396</v>
      </c>
      <c r="J516" s="3">
        <f t="shared" si="8"/>
        <v>2.375</v>
      </c>
    </row>
    <row r="517" spans="1:10" x14ac:dyDescent="0.3">
      <c r="A517" t="s">
        <v>566</v>
      </c>
      <c r="B517" t="s">
        <v>1394</v>
      </c>
      <c r="C517" t="s">
        <v>1394</v>
      </c>
      <c r="D517" t="s">
        <v>43</v>
      </c>
      <c r="E517" t="s">
        <v>1394</v>
      </c>
      <c r="F517" t="s">
        <v>1393</v>
      </c>
      <c r="G517" t="s">
        <v>1394</v>
      </c>
      <c r="H517" t="s">
        <v>43</v>
      </c>
      <c r="I517" t="s">
        <v>1396</v>
      </c>
      <c r="J517" s="3">
        <f t="shared" si="8"/>
        <v>3.28125</v>
      </c>
    </row>
    <row r="518" spans="1:10" x14ac:dyDescent="0.3">
      <c r="A518" t="s">
        <v>567</v>
      </c>
      <c r="B518" t="s">
        <v>1397</v>
      </c>
      <c r="C518" t="s">
        <v>1393</v>
      </c>
      <c r="D518" t="s">
        <v>1396</v>
      </c>
      <c r="E518" t="s">
        <v>1395</v>
      </c>
      <c r="F518" t="s">
        <v>1394</v>
      </c>
      <c r="G518" t="s">
        <v>1397</v>
      </c>
      <c r="H518" t="s">
        <v>1395</v>
      </c>
      <c r="I518" t="s">
        <v>1393</v>
      </c>
      <c r="J518" s="3">
        <f t="shared" si="8"/>
        <v>3.4583333333333335</v>
      </c>
    </row>
    <row r="519" spans="1:10" x14ac:dyDescent="0.3">
      <c r="A519" t="s">
        <v>568</v>
      </c>
      <c r="B519" t="s">
        <v>1400</v>
      </c>
      <c r="C519" t="s">
        <v>1396</v>
      </c>
      <c r="D519" t="s">
        <v>1394</v>
      </c>
      <c r="E519" t="s">
        <v>1393</v>
      </c>
      <c r="F519" t="s">
        <v>1397</v>
      </c>
      <c r="G519" t="s">
        <v>1396</v>
      </c>
      <c r="H519" t="s">
        <v>1393</v>
      </c>
      <c r="I519" t="s">
        <v>1396</v>
      </c>
      <c r="J519" s="3">
        <f t="shared" si="8"/>
        <v>2.7916666666666665</v>
      </c>
    </row>
    <row r="520" spans="1:10" x14ac:dyDescent="0.3">
      <c r="A520" t="s">
        <v>569</v>
      </c>
      <c r="B520" t="s">
        <v>1397</v>
      </c>
      <c r="C520" t="s">
        <v>1396</v>
      </c>
      <c r="D520" t="s">
        <v>1394</v>
      </c>
      <c r="E520" t="s">
        <v>1396</v>
      </c>
      <c r="F520" t="s">
        <v>1396</v>
      </c>
      <c r="G520" t="s">
        <v>1397</v>
      </c>
      <c r="H520" t="s">
        <v>1393</v>
      </c>
      <c r="I520" t="s">
        <v>1398</v>
      </c>
      <c r="J520" s="3">
        <f t="shared" si="8"/>
        <v>3.0416666666666665</v>
      </c>
    </row>
    <row r="521" spans="1:10" x14ac:dyDescent="0.3">
      <c r="A521" t="s">
        <v>570</v>
      </c>
      <c r="B521" t="s">
        <v>1399</v>
      </c>
      <c r="C521" t="s">
        <v>1397</v>
      </c>
      <c r="D521" t="s">
        <v>43</v>
      </c>
      <c r="E521" t="s">
        <v>1395</v>
      </c>
      <c r="F521" t="s">
        <v>43</v>
      </c>
      <c r="G521" t="s">
        <v>1394</v>
      </c>
      <c r="H521" t="s">
        <v>1394</v>
      </c>
      <c r="I521" t="s">
        <v>1396</v>
      </c>
      <c r="J521" s="3">
        <f t="shared" si="8"/>
        <v>2.6770833333333335</v>
      </c>
    </row>
    <row r="522" spans="1:10" x14ac:dyDescent="0.3">
      <c r="A522" t="s">
        <v>571</v>
      </c>
      <c r="B522" t="s">
        <v>43</v>
      </c>
      <c r="C522" t="s">
        <v>1393</v>
      </c>
      <c r="D522" t="s">
        <v>1394</v>
      </c>
      <c r="E522" t="s">
        <v>1393</v>
      </c>
      <c r="F522" t="s">
        <v>1395</v>
      </c>
      <c r="G522" t="s">
        <v>1393</v>
      </c>
      <c r="H522" t="s">
        <v>1394</v>
      </c>
      <c r="I522" t="s">
        <v>1397</v>
      </c>
      <c r="J522" s="3">
        <f t="shared" si="8"/>
        <v>3.3645833333333335</v>
      </c>
    </row>
    <row r="523" spans="1:10" x14ac:dyDescent="0.3">
      <c r="A523" t="s">
        <v>572</v>
      </c>
      <c r="B523" t="s">
        <v>1396</v>
      </c>
      <c r="C523" t="s">
        <v>1399</v>
      </c>
      <c r="D523" t="s">
        <v>1395</v>
      </c>
      <c r="E523" t="s">
        <v>1397</v>
      </c>
      <c r="F523" t="s">
        <v>1393</v>
      </c>
      <c r="G523" t="s">
        <v>1399</v>
      </c>
      <c r="H523" t="s">
        <v>1394</v>
      </c>
      <c r="I523" t="s">
        <v>1396</v>
      </c>
      <c r="J523" s="3">
        <f t="shared" si="8"/>
        <v>2.6875</v>
      </c>
    </row>
    <row r="524" spans="1:10" x14ac:dyDescent="0.3">
      <c r="A524" t="s">
        <v>573</v>
      </c>
      <c r="B524" t="s">
        <v>1396</v>
      </c>
      <c r="C524" t="s">
        <v>1399</v>
      </c>
      <c r="D524" t="s">
        <v>1396</v>
      </c>
      <c r="E524" t="s">
        <v>1400</v>
      </c>
      <c r="F524" t="s">
        <v>1396</v>
      </c>
      <c r="G524" t="s">
        <v>1394</v>
      </c>
      <c r="H524" t="s">
        <v>1398</v>
      </c>
      <c r="I524" t="s">
        <v>1394</v>
      </c>
      <c r="J524" s="3">
        <f t="shared" si="8"/>
        <v>2.4166666666666665</v>
      </c>
    </row>
    <row r="525" spans="1:10" x14ac:dyDescent="0.3">
      <c r="A525" t="s">
        <v>574</v>
      </c>
      <c r="B525" t="s">
        <v>1400</v>
      </c>
      <c r="C525" t="s">
        <v>1396</v>
      </c>
      <c r="D525" t="s">
        <v>1394</v>
      </c>
      <c r="E525" t="s">
        <v>1399</v>
      </c>
      <c r="F525" t="s">
        <v>1395</v>
      </c>
      <c r="G525" t="s">
        <v>1395</v>
      </c>
      <c r="H525" t="s">
        <v>1395</v>
      </c>
      <c r="I525" t="s">
        <v>1397</v>
      </c>
      <c r="J525" s="3">
        <f t="shared" si="8"/>
        <v>2.4166666666666665</v>
      </c>
    </row>
    <row r="526" spans="1:10" x14ac:dyDescent="0.3">
      <c r="A526" t="s">
        <v>575</v>
      </c>
      <c r="B526" t="s">
        <v>1393</v>
      </c>
      <c r="C526" t="s">
        <v>1395</v>
      </c>
      <c r="D526" t="s">
        <v>1394</v>
      </c>
      <c r="E526" t="s">
        <v>1398</v>
      </c>
      <c r="F526" t="s">
        <v>1393</v>
      </c>
      <c r="G526" t="s">
        <v>1396</v>
      </c>
      <c r="H526" t="s">
        <v>1394</v>
      </c>
      <c r="I526" t="s">
        <v>1396</v>
      </c>
      <c r="J526" s="3">
        <f t="shared" si="8"/>
        <v>3.4270833333333335</v>
      </c>
    </row>
    <row r="527" spans="1:10" x14ac:dyDescent="0.3">
      <c r="A527" t="s">
        <v>576</v>
      </c>
      <c r="B527" t="s">
        <v>1396</v>
      </c>
      <c r="C527" t="s">
        <v>1397</v>
      </c>
      <c r="D527" t="s">
        <v>1393</v>
      </c>
      <c r="E527" t="s">
        <v>1394</v>
      </c>
      <c r="F527" t="s">
        <v>1393</v>
      </c>
      <c r="G527" t="s">
        <v>1399</v>
      </c>
      <c r="H527" t="s">
        <v>1393</v>
      </c>
      <c r="I527" t="s">
        <v>1393</v>
      </c>
      <c r="J527" s="3">
        <f t="shared" si="8"/>
        <v>3.34375</v>
      </c>
    </row>
    <row r="528" spans="1:10" x14ac:dyDescent="0.3">
      <c r="A528" t="s">
        <v>577</v>
      </c>
      <c r="B528" t="s">
        <v>1396</v>
      </c>
      <c r="C528" t="s">
        <v>1396</v>
      </c>
      <c r="D528" t="s">
        <v>43</v>
      </c>
      <c r="E528" t="s">
        <v>1393</v>
      </c>
      <c r="F528" t="s">
        <v>1394</v>
      </c>
      <c r="G528" t="s">
        <v>1394</v>
      </c>
      <c r="H528" t="s">
        <v>1396</v>
      </c>
      <c r="I528" t="s">
        <v>1396</v>
      </c>
      <c r="J528" s="3">
        <f t="shared" si="8"/>
        <v>3.1666666666666665</v>
      </c>
    </row>
    <row r="529" spans="1:10" x14ac:dyDescent="0.3">
      <c r="A529" t="s">
        <v>578</v>
      </c>
      <c r="B529" t="s">
        <v>1395</v>
      </c>
      <c r="C529" t="s">
        <v>43</v>
      </c>
      <c r="D529" t="s">
        <v>1397</v>
      </c>
      <c r="E529" t="s">
        <v>43</v>
      </c>
      <c r="F529" t="s">
        <v>1399</v>
      </c>
      <c r="G529" t="s">
        <v>1394</v>
      </c>
      <c r="H529" t="s">
        <v>1399</v>
      </c>
      <c r="I529" t="s">
        <v>1395</v>
      </c>
      <c r="J529" s="3">
        <f t="shared" si="8"/>
        <v>2.5</v>
      </c>
    </row>
    <row r="530" spans="1:10" x14ac:dyDescent="0.3">
      <c r="A530" t="s">
        <v>579</v>
      </c>
      <c r="B530" t="s">
        <v>1393</v>
      </c>
      <c r="C530" t="s">
        <v>43</v>
      </c>
      <c r="D530" t="s">
        <v>1393</v>
      </c>
      <c r="E530" t="s">
        <v>1393</v>
      </c>
      <c r="F530" t="s">
        <v>1394</v>
      </c>
      <c r="G530" t="s">
        <v>1394</v>
      </c>
      <c r="H530" t="s">
        <v>1399</v>
      </c>
      <c r="I530" t="s">
        <v>43</v>
      </c>
      <c r="J530" s="3">
        <f t="shared" si="8"/>
        <v>2.9166666666666665</v>
      </c>
    </row>
    <row r="531" spans="1:10" x14ac:dyDescent="0.3">
      <c r="A531" t="s">
        <v>580</v>
      </c>
      <c r="B531" t="s">
        <v>1395</v>
      </c>
      <c r="C531" t="s">
        <v>1396</v>
      </c>
      <c r="D531" t="s">
        <v>1398</v>
      </c>
      <c r="E531" t="s">
        <v>1398</v>
      </c>
      <c r="F531" t="s">
        <v>1397</v>
      </c>
      <c r="G531" t="s">
        <v>1396</v>
      </c>
      <c r="H531" t="s">
        <v>1393</v>
      </c>
      <c r="I531" t="s">
        <v>1394</v>
      </c>
      <c r="J531" s="3">
        <f t="shared" si="8"/>
        <v>3.2083333333333335</v>
      </c>
    </row>
    <row r="532" spans="1:10" x14ac:dyDescent="0.3">
      <c r="A532" t="s">
        <v>581</v>
      </c>
      <c r="B532" t="s">
        <v>1397</v>
      </c>
      <c r="C532" t="s">
        <v>1396</v>
      </c>
      <c r="D532" t="s">
        <v>1398</v>
      </c>
      <c r="E532" t="s">
        <v>43</v>
      </c>
      <c r="F532" t="s">
        <v>1399</v>
      </c>
      <c r="G532" t="s">
        <v>1394</v>
      </c>
      <c r="H532" t="s">
        <v>1393</v>
      </c>
      <c r="I532" t="s">
        <v>43</v>
      </c>
      <c r="J532" s="3">
        <f t="shared" si="8"/>
        <v>2.6458333333333335</v>
      </c>
    </row>
    <row r="533" spans="1:10" x14ac:dyDescent="0.3">
      <c r="A533" t="s">
        <v>582</v>
      </c>
      <c r="B533" t="s">
        <v>1396</v>
      </c>
      <c r="C533" t="s">
        <v>1394</v>
      </c>
      <c r="D533" t="s">
        <v>1397</v>
      </c>
      <c r="E533" t="s">
        <v>1394</v>
      </c>
      <c r="F533" t="s">
        <v>1394</v>
      </c>
      <c r="G533" t="s">
        <v>1395</v>
      </c>
      <c r="H533" t="s">
        <v>1396</v>
      </c>
      <c r="I533" t="s">
        <v>1397</v>
      </c>
      <c r="J533" s="3">
        <f t="shared" si="8"/>
        <v>3.2604166666666665</v>
      </c>
    </row>
    <row r="534" spans="1:10" x14ac:dyDescent="0.3">
      <c r="A534" t="s">
        <v>583</v>
      </c>
      <c r="B534" t="s">
        <v>1393</v>
      </c>
      <c r="C534" t="s">
        <v>1397</v>
      </c>
      <c r="D534" t="s">
        <v>1396</v>
      </c>
      <c r="E534" t="s">
        <v>1396</v>
      </c>
      <c r="F534" t="s">
        <v>1397</v>
      </c>
      <c r="G534" t="s">
        <v>1398</v>
      </c>
      <c r="H534" t="s">
        <v>1393</v>
      </c>
      <c r="I534" t="s">
        <v>1396</v>
      </c>
      <c r="J534" s="3">
        <f t="shared" si="8"/>
        <v>3.1875</v>
      </c>
    </row>
    <row r="535" spans="1:10" x14ac:dyDescent="0.3">
      <c r="A535" t="s">
        <v>584</v>
      </c>
      <c r="B535" t="s">
        <v>1397</v>
      </c>
      <c r="C535" t="s">
        <v>1397</v>
      </c>
      <c r="D535" t="s">
        <v>1397</v>
      </c>
      <c r="E535" t="s">
        <v>1394</v>
      </c>
      <c r="F535" t="s">
        <v>1399</v>
      </c>
      <c r="G535" t="s">
        <v>1398</v>
      </c>
      <c r="H535" t="s">
        <v>1394</v>
      </c>
      <c r="I535" t="s">
        <v>1395</v>
      </c>
      <c r="J535" s="3">
        <f t="shared" si="8"/>
        <v>2.9583333333333335</v>
      </c>
    </row>
    <row r="536" spans="1:10" x14ac:dyDescent="0.3">
      <c r="A536" t="s">
        <v>585</v>
      </c>
      <c r="B536" t="s">
        <v>1399</v>
      </c>
      <c r="C536" t="s">
        <v>1394</v>
      </c>
      <c r="D536" t="s">
        <v>1395</v>
      </c>
      <c r="E536" t="s">
        <v>1399</v>
      </c>
      <c r="F536" t="s">
        <v>43</v>
      </c>
      <c r="G536" t="s">
        <v>1394</v>
      </c>
      <c r="H536" t="s">
        <v>1397</v>
      </c>
      <c r="I536" t="s">
        <v>1395</v>
      </c>
      <c r="J536" s="3">
        <f t="shared" si="8"/>
        <v>2.6145833333333335</v>
      </c>
    </row>
    <row r="537" spans="1:10" x14ac:dyDescent="0.3">
      <c r="A537" t="s">
        <v>586</v>
      </c>
      <c r="B537" t="s">
        <v>1397</v>
      </c>
      <c r="C537" t="s">
        <v>1398</v>
      </c>
      <c r="D537" t="s">
        <v>1393</v>
      </c>
      <c r="E537" t="s">
        <v>1394</v>
      </c>
      <c r="F537" t="s">
        <v>1394</v>
      </c>
      <c r="G537" t="s">
        <v>1394</v>
      </c>
      <c r="H537" t="s">
        <v>1393</v>
      </c>
      <c r="I537" t="s">
        <v>1393</v>
      </c>
      <c r="J537" s="3">
        <f t="shared" si="8"/>
        <v>3.46875</v>
      </c>
    </row>
    <row r="538" spans="1:10" x14ac:dyDescent="0.3">
      <c r="A538" t="s">
        <v>587</v>
      </c>
      <c r="B538" t="s">
        <v>1395</v>
      </c>
      <c r="C538" t="s">
        <v>1395</v>
      </c>
      <c r="D538" t="s">
        <v>1393</v>
      </c>
      <c r="E538" t="s">
        <v>1396</v>
      </c>
      <c r="F538" t="s">
        <v>1399</v>
      </c>
      <c r="G538" t="s">
        <v>1396</v>
      </c>
      <c r="H538" t="s">
        <v>1395</v>
      </c>
      <c r="I538" t="s">
        <v>1397</v>
      </c>
      <c r="J538" s="3">
        <f t="shared" si="8"/>
        <v>3.1041666666666665</v>
      </c>
    </row>
    <row r="539" spans="1:10" x14ac:dyDescent="0.3">
      <c r="A539" t="s">
        <v>588</v>
      </c>
      <c r="B539" t="s">
        <v>1395</v>
      </c>
      <c r="C539" t="s">
        <v>1394</v>
      </c>
      <c r="D539" t="s">
        <v>1396</v>
      </c>
      <c r="E539" t="s">
        <v>1393</v>
      </c>
      <c r="F539" t="s">
        <v>1397</v>
      </c>
      <c r="G539" t="s">
        <v>1394</v>
      </c>
      <c r="H539" t="s">
        <v>1395</v>
      </c>
      <c r="I539" t="s">
        <v>1399</v>
      </c>
      <c r="J539" s="3">
        <f t="shared" si="8"/>
        <v>3.1041666666666665</v>
      </c>
    </row>
    <row r="540" spans="1:10" x14ac:dyDescent="0.3">
      <c r="A540" t="s">
        <v>589</v>
      </c>
      <c r="B540" t="s">
        <v>1398</v>
      </c>
      <c r="C540" t="s">
        <v>1398</v>
      </c>
      <c r="D540" t="s">
        <v>1397</v>
      </c>
      <c r="E540" t="s">
        <v>1397</v>
      </c>
      <c r="F540" t="s">
        <v>1397</v>
      </c>
      <c r="G540" t="s">
        <v>1399</v>
      </c>
      <c r="H540" t="s">
        <v>1394</v>
      </c>
      <c r="I540" t="s">
        <v>1398</v>
      </c>
      <c r="J540" s="3">
        <f t="shared" si="8"/>
        <v>2.6041666666666665</v>
      </c>
    </row>
    <row r="541" spans="1:10" x14ac:dyDescent="0.3">
      <c r="A541" t="s">
        <v>590</v>
      </c>
      <c r="B541" t="s">
        <v>1395</v>
      </c>
      <c r="C541" t="s">
        <v>1394</v>
      </c>
      <c r="D541" t="s">
        <v>1398</v>
      </c>
      <c r="E541" t="s">
        <v>1396</v>
      </c>
      <c r="F541" t="s">
        <v>1398</v>
      </c>
      <c r="G541" t="s">
        <v>43</v>
      </c>
      <c r="H541" t="s">
        <v>1396</v>
      </c>
      <c r="I541" t="s">
        <v>1394</v>
      </c>
      <c r="J541" s="3">
        <f t="shared" si="8"/>
        <v>3.1666666666666665</v>
      </c>
    </row>
    <row r="542" spans="1:10" x14ac:dyDescent="0.3">
      <c r="A542" t="s">
        <v>591</v>
      </c>
      <c r="B542" t="s">
        <v>1393</v>
      </c>
      <c r="C542" t="s">
        <v>1396</v>
      </c>
      <c r="D542" t="s">
        <v>1397</v>
      </c>
      <c r="E542" t="s">
        <v>1394</v>
      </c>
      <c r="F542" t="s">
        <v>1393</v>
      </c>
      <c r="G542" t="s">
        <v>1393</v>
      </c>
      <c r="H542" t="s">
        <v>1394</v>
      </c>
      <c r="I542" t="s">
        <v>1397</v>
      </c>
      <c r="J542" s="3">
        <f t="shared" si="8"/>
        <v>3.4583333333333335</v>
      </c>
    </row>
    <row r="543" spans="1:10" x14ac:dyDescent="0.3">
      <c r="A543" t="s">
        <v>592</v>
      </c>
      <c r="B543" t="s">
        <v>1393</v>
      </c>
      <c r="C543" t="s">
        <v>1394</v>
      </c>
      <c r="D543" t="s">
        <v>1394</v>
      </c>
      <c r="E543" t="s">
        <v>1397</v>
      </c>
      <c r="F543" t="s">
        <v>1400</v>
      </c>
      <c r="G543" t="s">
        <v>1393</v>
      </c>
      <c r="H543" t="s">
        <v>1393</v>
      </c>
      <c r="I543" t="s">
        <v>1399</v>
      </c>
      <c r="J543" s="3">
        <f t="shared" si="8"/>
        <v>2.9479166666666665</v>
      </c>
    </row>
    <row r="544" spans="1:10" x14ac:dyDescent="0.3">
      <c r="A544" t="s">
        <v>593</v>
      </c>
      <c r="B544" t="s">
        <v>1399</v>
      </c>
      <c r="C544" t="s">
        <v>1393</v>
      </c>
      <c r="D544" t="s">
        <v>1395</v>
      </c>
      <c r="E544" t="s">
        <v>1396</v>
      </c>
      <c r="F544" t="s">
        <v>1395</v>
      </c>
      <c r="G544" t="s">
        <v>1395</v>
      </c>
      <c r="H544" t="s">
        <v>1396</v>
      </c>
      <c r="I544" t="s">
        <v>1394</v>
      </c>
      <c r="J544" s="3">
        <f t="shared" si="8"/>
        <v>3.0833333333333335</v>
      </c>
    </row>
    <row r="545" spans="1:10" x14ac:dyDescent="0.3">
      <c r="A545" t="s">
        <v>594</v>
      </c>
      <c r="B545" t="s">
        <v>1393</v>
      </c>
      <c r="C545" t="s">
        <v>1393</v>
      </c>
      <c r="D545" t="s">
        <v>1394</v>
      </c>
      <c r="E545" t="s">
        <v>1393</v>
      </c>
      <c r="F545" t="s">
        <v>1396</v>
      </c>
      <c r="G545" t="s">
        <v>1397</v>
      </c>
      <c r="H545" t="s">
        <v>1394</v>
      </c>
      <c r="I545" t="s">
        <v>1398</v>
      </c>
      <c r="J545" s="3">
        <f t="shared" si="8"/>
        <v>3.5104166666666665</v>
      </c>
    </row>
    <row r="546" spans="1:10" x14ac:dyDescent="0.3">
      <c r="A546" t="s">
        <v>595</v>
      </c>
      <c r="B546" t="s">
        <v>1397</v>
      </c>
      <c r="C546" t="s">
        <v>1395</v>
      </c>
      <c r="D546" t="s">
        <v>1396</v>
      </c>
      <c r="E546" t="s">
        <v>1394</v>
      </c>
      <c r="F546" t="s">
        <v>43</v>
      </c>
      <c r="G546" t="s">
        <v>1396</v>
      </c>
      <c r="H546" t="s">
        <v>1393</v>
      </c>
      <c r="I546" t="s">
        <v>1394</v>
      </c>
      <c r="J546" s="3">
        <f t="shared" si="8"/>
        <v>3.3020833333333335</v>
      </c>
    </row>
    <row r="547" spans="1:10" x14ac:dyDescent="0.3">
      <c r="A547" t="s">
        <v>596</v>
      </c>
      <c r="B547" t="s">
        <v>1397</v>
      </c>
      <c r="C547" t="s">
        <v>1395</v>
      </c>
      <c r="D547" t="s">
        <v>1397</v>
      </c>
      <c r="E547" t="s">
        <v>1394</v>
      </c>
      <c r="F547" t="s">
        <v>1398</v>
      </c>
      <c r="G547" t="s">
        <v>1398</v>
      </c>
      <c r="H547" t="s">
        <v>1393</v>
      </c>
      <c r="I547" t="s">
        <v>1396</v>
      </c>
      <c r="J547" s="3">
        <f t="shared" si="8"/>
        <v>3.15625</v>
      </c>
    </row>
    <row r="548" spans="1:10" x14ac:dyDescent="0.3">
      <c r="A548" t="s">
        <v>597</v>
      </c>
      <c r="B548" t="s">
        <v>1394</v>
      </c>
      <c r="C548" t="s">
        <v>1397</v>
      </c>
      <c r="D548" t="s">
        <v>1398</v>
      </c>
      <c r="E548" t="s">
        <v>1398</v>
      </c>
      <c r="F548" t="s">
        <v>1394</v>
      </c>
      <c r="G548" t="s">
        <v>1393</v>
      </c>
      <c r="H548" t="s">
        <v>1397</v>
      </c>
      <c r="I548" t="s">
        <v>1396</v>
      </c>
      <c r="J548" s="3">
        <f t="shared" si="8"/>
        <v>3.09375</v>
      </c>
    </row>
    <row r="549" spans="1:10" x14ac:dyDescent="0.3">
      <c r="A549" t="s">
        <v>598</v>
      </c>
      <c r="B549" t="s">
        <v>1393</v>
      </c>
      <c r="C549" t="s">
        <v>1394</v>
      </c>
      <c r="D549" t="s">
        <v>1396</v>
      </c>
      <c r="E549" t="s">
        <v>1393</v>
      </c>
      <c r="F549" t="s">
        <v>1397</v>
      </c>
      <c r="G549" t="s">
        <v>1394</v>
      </c>
      <c r="H549" t="s">
        <v>1394</v>
      </c>
      <c r="I549" t="s">
        <v>1395</v>
      </c>
      <c r="J549" s="3">
        <f t="shared" si="8"/>
        <v>3.6354166666666665</v>
      </c>
    </row>
    <row r="550" spans="1:10" x14ac:dyDescent="0.3">
      <c r="A550" t="s">
        <v>599</v>
      </c>
      <c r="B550" t="s">
        <v>1396</v>
      </c>
      <c r="C550" t="s">
        <v>1397</v>
      </c>
      <c r="D550" t="s">
        <v>1393</v>
      </c>
      <c r="E550" t="s">
        <v>1397</v>
      </c>
      <c r="F550" t="s">
        <v>1394</v>
      </c>
      <c r="G550" t="s">
        <v>1394</v>
      </c>
      <c r="H550" t="s">
        <v>1397</v>
      </c>
      <c r="I550" t="s">
        <v>1397</v>
      </c>
      <c r="J550" s="3">
        <f t="shared" si="8"/>
        <v>3.0625</v>
      </c>
    </row>
    <row r="551" spans="1:10" x14ac:dyDescent="0.3">
      <c r="A551" t="s">
        <v>600</v>
      </c>
      <c r="B551" t="s">
        <v>1396</v>
      </c>
      <c r="C551" t="s">
        <v>43</v>
      </c>
      <c r="D551" t="s">
        <v>1394</v>
      </c>
      <c r="E551" t="s">
        <v>1395</v>
      </c>
      <c r="F551" t="s">
        <v>1397</v>
      </c>
      <c r="G551" t="s">
        <v>1394</v>
      </c>
      <c r="H551" t="s">
        <v>1394</v>
      </c>
      <c r="I551" t="s">
        <v>1394</v>
      </c>
      <c r="J551" s="3">
        <f t="shared" si="8"/>
        <v>3.21875</v>
      </c>
    </row>
    <row r="552" spans="1:10" x14ac:dyDescent="0.3">
      <c r="A552" t="s">
        <v>601</v>
      </c>
      <c r="B552" t="s">
        <v>1398</v>
      </c>
      <c r="C552" t="s">
        <v>1398</v>
      </c>
      <c r="D552" t="s">
        <v>1397</v>
      </c>
      <c r="E552" t="s">
        <v>1399</v>
      </c>
      <c r="F552" t="s">
        <v>1398</v>
      </c>
      <c r="G552" t="s">
        <v>1395</v>
      </c>
      <c r="H552" t="s">
        <v>1395</v>
      </c>
      <c r="I552" t="s">
        <v>1397</v>
      </c>
      <c r="J552" s="3">
        <f t="shared" si="8"/>
        <v>2.5833333333333335</v>
      </c>
    </row>
    <row r="553" spans="1:10" x14ac:dyDescent="0.3">
      <c r="A553" t="s">
        <v>602</v>
      </c>
      <c r="B553" t="s">
        <v>1393</v>
      </c>
      <c r="C553" t="s">
        <v>1396</v>
      </c>
      <c r="D553" t="s">
        <v>1393</v>
      </c>
      <c r="E553" t="s">
        <v>1393</v>
      </c>
      <c r="F553" t="s">
        <v>1396</v>
      </c>
      <c r="G553" t="s">
        <v>1394</v>
      </c>
      <c r="H553" t="s">
        <v>1399</v>
      </c>
      <c r="I553" t="s">
        <v>43</v>
      </c>
      <c r="J553" s="3">
        <f t="shared" si="8"/>
        <v>3.0208333333333335</v>
      </c>
    </row>
    <row r="554" spans="1:10" x14ac:dyDescent="0.3">
      <c r="A554" t="s">
        <v>603</v>
      </c>
      <c r="B554" t="s">
        <v>1396</v>
      </c>
      <c r="C554" t="s">
        <v>1394</v>
      </c>
      <c r="D554" t="s">
        <v>1393</v>
      </c>
      <c r="E554" t="s">
        <v>1396</v>
      </c>
      <c r="F554" t="s">
        <v>1396</v>
      </c>
      <c r="G554" t="s">
        <v>1395</v>
      </c>
      <c r="H554" t="s">
        <v>1397</v>
      </c>
      <c r="I554" t="s">
        <v>1396</v>
      </c>
      <c r="J554" s="3">
        <f t="shared" si="8"/>
        <v>3.21875</v>
      </c>
    </row>
    <row r="555" spans="1:10" x14ac:dyDescent="0.3">
      <c r="A555" t="s">
        <v>604</v>
      </c>
      <c r="B555" t="s">
        <v>1398</v>
      </c>
      <c r="C555" t="s">
        <v>1393</v>
      </c>
      <c r="D555" t="s">
        <v>1393</v>
      </c>
      <c r="E555" t="s">
        <v>1395</v>
      </c>
      <c r="F555" t="s">
        <v>1396</v>
      </c>
      <c r="G555" t="s">
        <v>1394</v>
      </c>
      <c r="H555" t="s">
        <v>1397</v>
      </c>
      <c r="I555" t="s">
        <v>1394</v>
      </c>
      <c r="J555" s="3">
        <f t="shared" si="8"/>
        <v>3.3854166666666665</v>
      </c>
    </row>
    <row r="556" spans="1:10" x14ac:dyDescent="0.3">
      <c r="A556" t="s">
        <v>605</v>
      </c>
      <c r="B556" t="s">
        <v>1395</v>
      </c>
      <c r="C556" t="s">
        <v>1396</v>
      </c>
      <c r="D556" t="s">
        <v>1397</v>
      </c>
      <c r="E556" t="s">
        <v>1398</v>
      </c>
      <c r="F556" t="s">
        <v>1395</v>
      </c>
      <c r="G556" t="s">
        <v>1395</v>
      </c>
      <c r="H556" t="s">
        <v>43</v>
      </c>
      <c r="I556" t="s">
        <v>1399</v>
      </c>
      <c r="J556" s="3">
        <f t="shared" si="8"/>
        <v>2.625</v>
      </c>
    </row>
    <row r="557" spans="1:10" x14ac:dyDescent="0.3">
      <c r="A557" t="s">
        <v>606</v>
      </c>
      <c r="B557" t="s">
        <v>1396</v>
      </c>
      <c r="C557" t="s">
        <v>1393</v>
      </c>
      <c r="D557" t="s">
        <v>1396</v>
      </c>
      <c r="E557" t="s">
        <v>1397</v>
      </c>
      <c r="F557" t="s">
        <v>1394</v>
      </c>
      <c r="G557" t="s">
        <v>1393</v>
      </c>
      <c r="H557" t="s">
        <v>1400</v>
      </c>
      <c r="I557" t="s">
        <v>43</v>
      </c>
      <c r="J557" s="3">
        <f t="shared" si="8"/>
        <v>2.7395833333333335</v>
      </c>
    </row>
    <row r="558" spans="1:10" x14ac:dyDescent="0.3">
      <c r="A558" t="s">
        <v>607</v>
      </c>
      <c r="B558" t="s">
        <v>1393</v>
      </c>
      <c r="C558" t="s">
        <v>1396</v>
      </c>
      <c r="D558" t="s">
        <v>1396</v>
      </c>
      <c r="E558" t="s">
        <v>1394</v>
      </c>
      <c r="F558" t="s">
        <v>1393</v>
      </c>
      <c r="G558" t="s">
        <v>1398</v>
      </c>
      <c r="H558" t="s">
        <v>1398</v>
      </c>
      <c r="I558" t="s">
        <v>1395</v>
      </c>
      <c r="J558" s="3">
        <f t="shared" si="8"/>
        <v>3.3229166666666665</v>
      </c>
    </row>
    <row r="559" spans="1:10" x14ac:dyDescent="0.3">
      <c r="A559" t="s">
        <v>608</v>
      </c>
      <c r="B559" t="s">
        <v>1393</v>
      </c>
      <c r="C559" t="s">
        <v>1395</v>
      </c>
      <c r="D559" t="s">
        <v>1393</v>
      </c>
      <c r="E559" t="s">
        <v>1399</v>
      </c>
      <c r="F559" t="s">
        <v>1393</v>
      </c>
      <c r="G559" t="s">
        <v>1394</v>
      </c>
      <c r="H559" t="s">
        <v>1398</v>
      </c>
      <c r="I559" t="s">
        <v>1393</v>
      </c>
      <c r="J559" s="3">
        <f t="shared" si="8"/>
        <v>3.3333333333333335</v>
      </c>
    </row>
    <row r="560" spans="1:10" x14ac:dyDescent="0.3">
      <c r="A560" t="s">
        <v>609</v>
      </c>
      <c r="B560" t="s">
        <v>1393</v>
      </c>
      <c r="C560" t="s">
        <v>1393</v>
      </c>
      <c r="D560" t="s">
        <v>1394</v>
      </c>
      <c r="E560" t="s">
        <v>1396</v>
      </c>
      <c r="F560" t="s">
        <v>1398</v>
      </c>
      <c r="G560" t="s">
        <v>1394</v>
      </c>
      <c r="H560" t="s">
        <v>1394</v>
      </c>
      <c r="I560" t="s">
        <v>1398</v>
      </c>
      <c r="J560" s="3">
        <f t="shared" si="8"/>
        <v>3.4270833333333335</v>
      </c>
    </row>
    <row r="561" spans="1:10" x14ac:dyDescent="0.3">
      <c r="A561" t="s">
        <v>610</v>
      </c>
      <c r="B561" t="s">
        <v>1395</v>
      </c>
      <c r="C561" t="s">
        <v>1395</v>
      </c>
      <c r="D561" t="s">
        <v>1393</v>
      </c>
      <c r="E561" t="s">
        <v>1394</v>
      </c>
      <c r="F561" t="s">
        <v>1400</v>
      </c>
      <c r="G561" t="s">
        <v>1393</v>
      </c>
      <c r="H561" t="s">
        <v>1394</v>
      </c>
      <c r="I561" t="s">
        <v>1397</v>
      </c>
      <c r="J561" s="3">
        <f t="shared" si="8"/>
        <v>3.2291666666666665</v>
      </c>
    </row>
    <row r="562" spans="1:10" x14ac:dyDescent="0.3">
      <c r="A562" t="s">
        <v>611</v>
      </c>
      <c r="B562" t="s">
        <v>43</v>
      </c>
      <c r="C562" t="s">
        <v>43</v>
      </c>
      <c r="D562" t="s">
        <v>1396</v>
      </c>
      <c r="E562" t="s">
        <v>1399</v>
      </c>
      <c r="F562" t="s">
        <v>1396</v>
      </c>
      <c r="G562" t="s">
        <v>1394</v>
      </c>
      <c r="H562" t="s">
        <v>1396</v>
      </c>
      <c r="I562" t="s">
        <v>1397</v>
      </c>
      <c r="J562" s="3">
        <f t="shared" si="8"/>
        <v>2.4375</v>
      </c>
    </row>
    <row r="563" spans="1:10" x14ac:dyDescent="0.3">
      <c r="A563" t="s">
        <v>612</v>
      </c>
      <c r="B563" t="s">
        <v>1397</v>
      </c>
      <c r="C563" t="s">
        <v>1393</v>
      </c>
      <c r="D563" t="s">
        <v>1394</v>
      </c>
      <c r="E563" t="s">
        <v>1399</v>
      </c>
      <c r="F563" t="s">
        <v>1393</v>
      </c>
      <c r="G563" t="s">
        <v>1398</v>
      </c>
      <c r="H563" t="s">
        <v>1395</v>
      </c>
      <c r="I563" t="s">
        <v>1394</v>
      </c>
      <c r="J563" s="3">
        <f t="shared" si="8"/>
        <v>3.1666666666666665</v>
      </c>
    </row>
    <row r="564" spans="1:10" x14ac:dyDescent="0.3">
      <c r="A564" t="s">
        <v>613</v>
      </c>
      <c r="B564" t="s">
        <v>1394</v>
      </c>
      <c r="C564" t="s">
        <v>1396</v>
      </c>
      <c r="D564" t="s">
        <v>1400</v>
      </c>
      <c r="E564" t="s">
        <v>1393</v>
      </c>
      <c r="F564" t="s">
        <v>43</v>
      </c>
      <c r="G564" t="s">
        <v>1395</v>
      </c>
      <c r="H564" t="s">
        <v>1394</v>
      </c>
      <c r="I564" t="s">
        <v>1397</v>
      </c>
      <c r="J564" s="3">
        <f t="shared" si="8"/>
        <v>3.0104166666666665</v>
      </c>
    </row>
    <row r="565" spans="1:10" x14ac:dyDescent="0.3">
      <c r="A565" t="s">
        <v>614</v>
      </c>
      <c r="B565" t="s">
        <v>1395</v>
      </c>
      <c r="C565" t="s">
        <v>1394</v>
      </c>
      <c r="D565" t="s">
        <v>1395</v>
      </c>
      <c r="E565" t="s">
        <v>1398</v>
      </c>
      <c r="F565" t="s">
        <v>43</v>
      </c>
      <c r="G565" t="s">
        <v>1396</v>
      </c>
      <c r="H565" t="s">
        <v>1393</v>
      </c>
      <c r="I565" t="s">
        <v>1398</v>
      </c>
      <c r="J565" s="3">
        <f t="shared" si="8"/>
        <v>3.1458333333333335</v>
      </c>
    </row>
    <row r="566" spans="1:10" x14ac:dyDescent="0.3">
      <c r="A566" t="s">
        <v>615</v>
      </c>
      <c r="B566" t="s">
        <v>1396</v>
      </c>
      <c r="C566" t="s">
        <v>43</v>
      </c>
      <c r="D566" t="s">
        <v>1399</v>
      </c>
      <c r="E566" t="s">
        <v>1395</v>
      </c>
      <c r="F566" t="s">
        <v>1398</v>
      </c>
      <c r="G566" t="s">
        <v>1398</v>
      </c>
      <c r="H566" t="s">
        <v>1394</v>
      </c>
      <c r="I566" t="s">
        <v>1395</v>
      </c>
      <c r="J566" s="3">
        <f t="shared" si="8"/>
        <v>2.8229166666666665</v>
      </c>
    </row>
    <row r="567" spans="1:10" x14ac:dyDescent="0.3">
      <c r="A567" t="s">
        <v>616</v>
      </c>
      <c r="B567" t="s">
        <v>1395</v>
      </c>
      <c r="C567" t="s">
        <v>1395</v>
      </c>
      <c r="D567" t="s">
        <v>1395</v>
      </c>
      <c r="E567" t="s">
        <v>1393</v>
      </c>
      <c r="F567" t="s">
        <v>1394</v>
      </c>
      <c r="G567" t="s">
        <v>43</v>
      </c>
      <c r="H567" t="s">
        <v>1395</v>
      </c>
      <c r="I567" t="s">
        <v>1397</v>
      </c>
      <c r="J567" s="3">
        <f t="shared" si="8"/>
        <v>3.3333333333333335</v>
      </c>
    </row>
    <row r="568" spans="1:10" x14ac:dyDescent="0.3">
      <c r="A568" t="s">
        <v>617</v>
      </c>
      <c r="B568" t="s">
        <v>43</v>
      </c>
      <c r="C568" t="s">
        <v>1398</v>
      </c>
      <c r="D568" t="s">
        <v>1394</v>
      </c>
      <c r="E568" t="s">
        <v>43</v>
      </c>
      <c r="F568" t="s">
        <v>1398</v>
      </c>
      <c r="G568" t="s">
        <v>1400</v>
      </c>
      <c r="H568" t="s">
        <v>1397</v>
      </c>
      <c r="I568" t="s">
        <v>1398</v>
      </c>
      <c r="J568" s="3">
        <f t="shared" si="8"/>
        <v>2.28125</v>
      </c>
    </row>
    <row r="569" spans="1:10" x14ac:dyDescent="0.3">
      <c r="A569" t="s">
        <v>618</v>
      </c>
      <c r="B569" t="s">
        <v>1398</v>
      </c>
      <c r="C569" t="s">
        <v>1394</v>
      </c>
      <c r="D569" t="s">
        <v>1397</v>
      </c>
      <c r="E569" t="s">
        <v>1395</v>
      </c>
      <c r="F569" t="s">
        <v>1398</v>
      </c>
      <c r="G569" t="s">
        <v>1393</v>
      </c>
      <c r="H569" t="s">
        <v>1396</v>
      </c>
      <c r="I569" t="s">
        <v>1395</v>
      </c>
      <c r="J569" s="3">
        <f t="shared" si="8"/>
        <v>3.2083333333333335</v>
      </c>
    </row>
    <row r="570" spans="1:10" x14ac:dyDescent="0.3">
      <c r="A570" t="s">
        <v>619</v>
      </c>
      <c r="B570" t="s">
        <v>1398</v>
      </c>
      <c r="C570" t="s">
        <v>1395</v>
      </c>
      <c r="D570" t="s">
        <v>1398</v>
      </c>
      <c r="E570" t="s">
        <v>1398</v>
      </c>
      <c r="F570" t="s">
        <v>43</v>
      </c>
      <c r="G570" t="s">
        <v>1393</v>
      </c>
      <c r="H570" t="s">
        <v>1399</v>
      </c>
      <c r="I570" t="s">
        <v>1397</v>
      </c>
      <c r="J570" s="3">
        <f t="shared" si="8"/>
        <v>2.6041666666666665</v>
      </c>
    </row>
    <row r="571" spans="1:10" x14ac:dyDescent="0.3">
      <c r="A571" t="s">
        <v>620</v>
      </c>
      <c r="B571" t="s">
        <v>1397</v>
      </c>
      <c r="C571" t="s">
        <v>1397</v>
      </c>
      <c r="D571" t="s">
        <v>1393</v>
      </c>
      <c r="E571" t="s">
        <v>43</v>
      </c>
      <c r="F571" t="s">
        <v>1396</v>
      </c>
      <c r="G571" t="s">
        <v>1396</v>
      </c>
      <c r="H571" t="s">
        <v>1395</v>
      </c>
      <c r="I571" t="s">
        <v>1398</v>
      </c>
      <c r="J571" s="3">
        <f t="shared" si="8"/>
        <v>2.8541666666666665</v>
      </c>
    </row>
    <row r="572" spans="1:10" x14ac:dyDescent="0.3">
      <c r="A572" t="s">
        <v>621</v>
      </c>
      <c r="B572" t="s">
        <v>1398</v>
      </c>
      <c r="C572" t="s">
        <v>43</v>
      </c>
      <c r="D572" t="s">
        <v>1394</v>
      </c>
      <c r="E572" t="s">
        <v>1395</v>
      </c>
      <c r="F572" t="s">
        <v>1394</v>
      </c>
      <c r="G572" t="s">
        <v>1393</v>
      </c>
      <c r="H572" t="s">
        <v>1395</v>
      </c>
      <c r="I572" t="s">
        <v>1393</v>
      </c>
      <c r="J572" s="3">
        <f t="shared" si="8"/>
        <v>3.25</v>
      </c>
    </row>
    <row r="573" spans="1:10" x14ac:dyDescent="0.3">
      <c r="A573" t="s">
        <v>622</v>
      </c>
      <c r="B573" t="s">
        <v>1398</v>
      </c>
      <c r="C573" t="s">
        <v>1394</v>
      </c>
      <c r="D573" t="s">
        <v>1393</v>
      </c>
      <c r="E573" t="s">
        <v>1393</v>
      </c>
      <c r="F573" t="s">
        <v>1397</v>
      </c>
      <c r="G573" t="s">
        <v>1394</v>
      </c>
      <c r="H573" t="s">
        <v>1396</v>
      </c>
      <c r="I573" t="s">
        <v>1395</v>
      </c>
      <c r="J573" s="3">
        <f t="shared" si="8"/>
        <v>3.375</v>
      </c>
    </row>
    <row r="574" spans="1:10" x14ac:dyDescent="0.3">
      <c r="A574" t="s">
        <v>623</v>
      </c>
      <c r="B574" t="s">
        <v>1398</v>
      </c>
      <c r="C574" t="s">
        <v>1399</v>
      </c>
      <c r="D574" t="s">
        <v>1395</v>
      </c>
      <c r="E574" t="s">
        <v>1397</v>
      </c>
      <c r="F574" t="s">
        <v>43</v>
      </c>
      <c r="G574" t="s">
        <v>1396</v>
      </c>
      <c r="H574" t="s">
        <v>43</v>
      </c>
      <c r="I574" t="s">
        <v>1397</v>
      </c>
      <c r="J574" s="3">
        <f t="shared" si="8"/>
        <v>2.34375</v>
      </c>
    </row>
    <row r="575" spans="1:10" x14ac:dyDescent="0.3">
      <c r="A575" t="s">
        <v>624</v>
      </c>
      <c r="B575" t="s">
        <v>1395</v>
      </c>
      <c r="C575" t="s">
        <v>43</v>
      </c>
      <c r="D575" t="s">
        <v>1396</v>
      </c>
      <c r="E575" t="s">
        <v>1393</v>
      </c>
      <c r="F575" t="s">
        <v>1396</v>
      </c>
      <c r="G575" t="s">
        <v>1398</v>
      </c>
      <c r="H575" t="s">
        <v>1396</v>
      </c>
      <c r="I575" t="s">
        <v>1396</v>
      </c>
      <c r="J575" s="3">
        <f t="shared" si="8"/>
        <v>3</v>
      </c>
    </row>
    <row r="576" spans="1:10" x14ac:dyDescent="0.3">
      <c r="A576" t="s">
        <v>625</v>
      </c>
      <c r="B576" t="s">
        <v>1395</v>
      </c>
      <c r="C576" t="s">
        <v>43</v>
      </c>
      <c r="D576" t="s">
        <v>1397</v>
      </c>
      <c r="E576" t="s">
        <v>1394</v>
      </c>
      <c r="F576" t="s">
        <v>1395</v>
      </c>
      <c r="G576" t="s">
        <v>1395</v>
      </c>
      <c r="H576" t="s">
        <v>1399</v>
      </c>
      <c r="I576" t="s">
        <v>1397</v>
      </c>
      <c r="J576" s="3">
        <f t="shared" si="8"/>
        <v>2.78125</v>
      </c>
    </row>
    <row r="577" spans="1:10" x14ac:dyDescent="0.3">
      <c r="A577" t="s">
        <v>626</v>
      </c>
      <c r="B577" t="s">
        <v>1393</v>
      </c>
      <c r="C577" t="s">
        <v>43</v>
      </c>
      <c r="D577" t="s">
        <v>1393</v>
      </c>
      <c r="E577" t="s">
        <v>1396</v>
      </c>
      <c r="F577" t="s">
        <v>1395</v>
      </c>
      <c r="G577" t="s">
        <v>1397</v>
      </c>
      <c r="H577" t="s">
        <v>1395</v>
      </c>
      <c r="I577" t="s">
        <v>1393</v>
      </c>
      <c r="J577" s="3">
        <f t="shared" si="8"/>
        <v>3.3333333333333335</v>
      </c>
    </row>
    <row r="578" spans="1:10" x14ac:dyDescent="0.3">
      <c r="A578" t="s">
        <v>627</v>
      </c>
      <c r="B578" t="s">
        <v>1396</v>
      </c>
      <c r="C578" t="s">
        <v>1398</v>
      </c>
      <c r="D578" t="s">
        <v>1398</v>
      </c>
      <c r="E578" t="s">
        <v>1395</v>
      </c>
      <c r="F578" t="s">
        <v>1394</v>
      </c>
      <c r="G578" t="s">
        <v>1397</v>
      </c>
      <c r="H578" t="s">
        <v>1398</v>
      </c>
      <c r="I578" t="s">
        <v>1394</v>
      </c>
      <c r="J578" s="3">
        <f t="shared" si="8"/>
        <v>3.0416666666666665</v>
      </c>
    </row>
    <row r="579" spans="1:10" x14ac:dyDescent="0.3">
      <c r="A579" t="s">
        <v>628</v>
      </c>
      <c r="B579" t="s">
        <v>43</v>
      </c>
      <c r="C579" t="s">
        <v>1400</v>
      </c>
      <c r="D579" t="s">
        <v>1395</v>
      </c>
      <c r="E579" t="s">
        <v>1395</v>
      </c>
      <c r="F579" t="s">
        <v>1397</v>
      </c>
      <c r="G579" t="s">
        <v>43</v>
      </c>
      <c r="H579" t="s">
        <v>1394</v>
      </c>
      <c r="I579" t="s">
        <v>1395</v>
      </c>
      <c r="J579" s="3">
        <f t="shared" ref="J579:J642" si="9">(VLOOKUP(B579,$N$27:$O$36, 2,0)*4+VLOOKUP(C579,$N$27:$O$36, 2,0)*4+VLOOKUP(D579,$N$27:$O$36, 2,0)*2+VLOOKUP(E579,$N$27:$O$36, 2,0)*3+VLOOKUP(F579,$N$27:$O$36, 2,0)*2+VLOOKUP(G579,$N$27:$O$36, 2,0)*2+VLOOKUP(H579,$N$27:$O$36, 2,0)*3+VLOOKUP(I579,$N$27:$O$36, 2,0)*4)/24</f>
        <v>2.5104166666666665</v>
      </c>
    </row>
    <row r="580" spans="1:10" x14ac:dyDescent="0.3">
      <c r="A580" t="s">
        <v>629</v>
      </c>
      <c r="B580" t="s">
        <v>1395</v>
      </c>
      <c r="C580" t="s">
        <v>1397</v>
      </c>
      <c r="D580" t="s">
        <v>1394</v>
      </c>
      <c r="E580" t="s">
        <v>1396</v>
      </c>
      <c r="F580" t="s">
        <v>1396</v>
      </c>
      <c r="G580" t="s">
        <v>1397</v>
      </c>
      <c r="H580" t="s">
        <v>1393</v>
      </c>
      <c r="I580" t="s">
        <v>1399</v>
      </c>
      <c r="J580" s="3">
        <f t="shared" si="9"/>
        <v>2.875</v>
      </c>
    </row>
    <row r="581" spans="1:10" x14ac:dyDescent="0.3">
      <c r="A581" t="s">
        <v>630</v>
      </c>
      <c r="B581" t="s">
        <v>1400</v>
      </c>
      <c r="C581" t="s">
        <v>1396</v>
      </c>
      <c r="D581" t="s">
        <v>1398</v>
      </c>
      <c r="E581" t="s">
        <v>1394</v>
      </c>
      <c r="F581" t="s">
        <v>43</v>
      </c>
      <c r="G581" t="s">
        <v>1396</v>
      </c>
      <c r="H581" t="s">
        <v>1398</v>
      </c>
      <c r="I581" t="s">
        <v>43</v>
      </c>
      <c r="J581" s="3">
        <f t="shared" si="9"/>
        <v>2.2395833333333335</v>
      </c>
    </row>
    <row r="582" spans="1:10" x14ac:dyDescent="0.3">
      <c r="A582" t="s">
        <v>631</v>
      </c>
      <c r="B582" t="s">
        <v>1395</v>
      </c>
      <c r="C582" t="s">
        <v>43</v>
      </c>
      <c r="D582" t="s">
        <v>1394</v>
      </c>
      <c r="E582" t="s">
        <v>1393</v>
      </c>
      <c r="F582" t="s">
        <v>1396</v>
      </c>
      <c r="G582" t="s">
        <v>43</v>
      </c>
      <c r="H582" t="s">
        <v>43</v>
      </c>
      <c r="I582" t="s">
        <v>1399</v>
      </c>
      <c r="J582" s="3">
        <f t="shared" si="9"/>
        <v>2.5625</v>
      </c>
    </row>
    <row r="583" spans="1:10" x14ac:dyDescent="0.3">
      <c r="A583" t="s">
        <v>632</v>
      </c>
      <c r="B583" t="s">
        <v>1396</v>
      </c>
      <c r="C583" t="s">
        <v>1399</v>
      </c>
      <c r="D583" t="s">
        <v>1396</v>
      </c>
      <c r="E583" t="s">
        <v>1393</v>
      </c>
      <c r="F583" t="s">
        <v>1397</v>
      </c>
      <c r="G583" t="s">
        <v>1398</v>
      </c>
      <c r="H583" t="s">
        <v>1395</v>
      </c>
      <c r="I583" t="s">
        <v>1396</v>
      </c>
      <c r="J583" s="3">
        <f t="shared" si="9"/>
        <v>2.7916666666666665</v>
      </c>
    </row>
    <row r="584" spans="1:10" x14ac:dyDescent="0.3">
      <c r="A584" t="s">
        <v>633</v>
      </c>
      <c r="B584" t="s">
        <v>1394</v>
      </c>
      <c r="C584" t="s">
        <v>1394</v>
      </c>
      <c r="D584" t="s">
        <v>1395</v>
      </c>
      <c r="E584" t="s">
        <v>1396</v>
      </c>
      <c r="F584" t="s">
        <v>1396</v>
      </c>
      <c r="G584" t="s">
        <v>1393</v>
      </c>
      <c r="H584" t="s">
        <v>1393</v>
      </c>
      <c r="I584" t="s">
        <v>1395</v>
      </c>
      <c r="J584" s="3">
        <f t="shared" si="9"/>
        <v>3.5833333333333335</v>
      </c>
    </row>
    <row r="585" spans="1:10" x14ac:dyDescent="0.3">
      <c r="A585" t="s">
        <v>634</v>
      </c>
      <c r="B585" t="s">
        <v>1397</v>
      </c>
      <c r="C585" t="s">
        <v>1397</v>
      </c>
      <c r="D585" t="s">
        <v>1394</v>
      </c>
      <c r="E585" t="s">
        <v>1394</v>
      </c>
      <c r="F585" t="s">
        <v>1396</v>
      </c>
      <c r="G585" t="s">
        <v>1394</v>
      </c>
      <c r="H585" t="s">
        <v>1396</v>
      </c>
      <c r="I585" t="s">
        <v>43</v>
      </c>
      <c r="J585" s="3">
        <f t="shared" si="9"/>
        <v>2.96875</v>
      </c>
    </row>
    <row r="586" spans="1:10" x14ac:dyDescent="0.3">
      <c r="A586" t="s">
        <v>635</v>
      </c>
      <c r="B586" t="s">
        <v>1394</v>
      </c>
      <c r="C586" t="s">
        <v>1396</v>
      </c>
      <c r="D586" t="s">
        <v>1397</v>
      </c>
      <c r="E586" t="s">
        <v>1397</v>
      </c>
      <c r="F586" t="s">
        <v>1397</v>
      </c>
      <c r="G586" t="s">
        <v>1397</v>
      </c>
      <c r="H586" t="s">
        <v>1394</v>
      </c>
      <c r="I586" t="s">
        <v>1398</v>
      </c>
      <c r="J586" s="3">
        <f t="shared" si="9"/>
        <v>3.0416666666666665</v>
      </c>
    </row>
    <row r="587" spans="1:10" x14ac:dyDescent="0.3">
      <c r="A587" t="s">
        <v>636</v>
      </c>
      <c r="B587" t="s">
        <v>43</v>
      </c>
      <c r="C587" t="s">
        <v>1393</v>
      </c>
      <c r="D587" t="s">
        <v>1399</v>
      </c>
      <c r="E587" t="s">
        <v>1395</v>
      </c>
      <c r="F587" t="s">
        <v>1393</v>
      </c>
      <c r="G587" t="s">
        <v>1393</v>
      </c>
      <c r="H587" t="s">
        <v>1398</v>
      </c>
      <c r="I587" t="s">
        <v>1397</v>
      </c>
      <c r="J587" s="3">
        <f t="shared" si="9"/>
        <v>2.9583333333333335</v>
      </c>
    </row>
    <row r="588" spans="1:10" x14ac:dyDescent="0.3">
      <c r="A588" t="s">
        <v>637</v>
      </c>
      <c r="B588" t="s">
        <v>1393</v>
      </c>
      <c r="C588" t="s">
        <v>1396</v>
      </c>
      <c r="D588" t="s">
        <v>1397</v>
      </c>
      <c r="E588" t="s">
        <v>1400</v>
      </c>
      <c r="F588" t="s">
        <v>1395</v>
      </c>
      <c r="G588" t="s">
        <v>1398</v>
      </c>
      <c r="H588" t="s">
        <v>1394</v>
      </c>
      <c r="I588" t="s">
        <v>1394</v>
      </c>
      <c r="J588" s="3">
        <f t="shared" si="9"/>
        <v>2.9895833333333335</v>
      </c>
    </row>
    <row r="589" spans="1:10" x14ac:dyDescent="0.3">
      <c r="A589" t="s">
        <v>638</v>
      </c>
      <c r="B589" t="s">
        <v>1394</v>
      </c>
      <c r="C589" t="s">
        <v>1395</v>
      </c>
      <c r="D589" t="s">
        <v>1396</v>
      </c>
      <c r="E589" t="s">
        <v>1395</v>
      </c>
      <c r="F589" t="s">
        <v>1394</v>
      </c>
      <c r="G589" t="s">
        <v>1394</v>
      </c>
      <c r="H589" t="s">
        <v>1393</v>
      </c>
      <c r="I589" t="s">
        <v>1394</v>
      </c>
      <c r="J589" s="3">
        <f t="shared" si="9"/>
        <v>3.6458333333333335</v>
      </c>
    </row>
    <row r="590" spans="1:10" x14ac:dyDescent="0.3">
      <c r="A590" t="s">
        <v>639</v>
      </c>
      <c r="B590" t="s">
        <v>1395</v>
      </c>
      <c r="C590" t="s">
        <v>1396</v>
      </c>
      <c r="D590" t="s">
        <v>1394</v>
      </c>
      <c r="E590" t="s">
        <v>1396</v>
      </c>
      <c r="F590" t="s">
        <v>1395</v>
      </c>
      <c r="G590" t="s">
        <v>1400</v>
      </c>
      <c r="H590" t="s">
        <v>1396</v>
      </c>
      <c r="I590" t="s">
        <v>1399</v>
      </c>
      <c r="J590" s="3">
        <f t="shared" si="9"/>
        <v>2.6041666666666665</v>
      </c>
    </row>
    <row r="591" spans="1:10" x14ac:dyDescent="0.3">
      <c r="A591" t="s">
        <v>640</v>
      </c>
      <c r="B591" t="s">
        <v>1396</v>
      </c>
      <c r="C591" t="s">
        <v>1394</v>
      </c>
      <c r="D591" t="s">
        <v>1396</v>
      </c>
      <c r="E591" t="s">
        <v>1393</v>
      </c>
      <c r="F591" t="s">
        <v>1394</v>
      </c>
      <c r="G591" t="s">
        <v>1393</v>
      </c>
      <c r="H591" t="s">
        <v>1397</v>
      </c>
      <c r="I591" t="s">
        <v>1399</v>
      </c>
      <c r="J591" s="3">
        <f t="shared" si="9"/>
        <v>3.03125</v>
      </c>
    </row>
    <row r="592" spans="1:10" x14ac:dyDescent="0.3">
      <c r="A592" t="s">
        <v>641</v>
      </c>
      <c r="B592" t="s">
        <v>1395</v>
      </c>
      <c r="C592" t="s">
        <v>1395</v>
      </c>
      <c r="D592" t="s">
        <v>1395</v>
      </c>
      <c r="E592" t="s">
        <v>1395</v>
      </c>
      <c r="F592" t="s">
        <v>1397</v>
      </c>
      <c r="G592" t="s">
        <v>1395</v>
      </c>
      <c r="H592" t="s">
        <v>1394</v>
      </c>
      <c r="I592" t="s">
        <v>43</v>
      </c>
      <c r="J592" s="3">
        <f t="shared" si="9"/>
        <v>3.21875</v>
      </c>
    </row>
    <row r="593" spans="1:10" x14ac:dyDescent="0.3">
      <c r="A593" t="s">
        <v>642</v>
      </c>
      <c r="B593" t="s">
        <v>1396</v>
      </c>
      <c r="C593" t="s">
        <v>1393</v>
      </c>
      <c r="D593" t="s">
        <v>1398</v>
      </c>
      <c r="E593" t="s">
        <v>1397</v>
      </c>
      <c r="F593" t="s">
        <v>1395</v>
      </c>
      <c r="G593" t="s">
        <v>1396</v>
      </c>
      <c r="H593" t="s">
        <v>43</v>
      </c>
      <c r="I593" t="s">
        <v>1395</v>
      </c>
      <c r="J593" s="3">
        <f t="shared" si="9"/>
        <v>3.09375</v>
      </c>
    </row>
    <row r="594" spans="1:10" x14ac:dyDescent="0.3">
      <c r="A594" t="s">
        <v>643</v>
      </c>
      <c r="B594" t="s">
        <v>1395</v>
      </c>
      <c r="C594" t="s">
        <v>1394</v>
      </c>
      <c r="D594" t="s">
        <v>1396</v>
      </c>
      <c r="E594" t="s">
        <v>1397</v>
      </c>
      <c r="F594" t="s">
        <v>1397</v>
      </c>
      <c r="G594" t="s">
        <v>1399</v>
      </c>
      <c r="H594" t="s">
        <v>1393</v>
      </c>
      <c r="I594" t="s">
        <v>1395</v>
      </c>
      <c r="J594" s="3">
        <f t="shared" si="9"/>
        <v>3.1979166666666665</v>
      </c>
    </row>
    <row r="595" spans="1:10" x14ac:dyDescent="0.3">
      <c r="A595" t="s">
        <v>644</v>
      </c>
      <c r="B595" t="s">
        <v>43</v>
      </c>
      <c r="C595" t="s">
        <v>1398</v>
      </c>
      <c r="D595" t="s">
        <v>1396</v>
      </c>
      <c r="E595" t="s">
        <v>1397</v>
      </c>
      <c r="F595" t="s">
        <v>1395</v>
      </c>
      <c r="G595" t="s">
        <v>1399</v>
      </c>
      <c r="H595" t="s">
        <v>1396</v>
      </c>
      <c r="I595" t="s">
        <v>1395</v>
      </c>
      <c r="J595" s="3">
        <f t="shared" si="9"/>
        <v>2.6770833333333335</v>
      </c>
    </row>
    <row r="596" spans="1:10" x14ac:dyDescent="0.3">
      <c r="A596" t="s">
        <v>645</v>
      </c>
      <c r="B596" t="s">
        <v>1394</v>
      </c>
      <c r="C596" t="s">
        <v>1393</v>
      </c>
      <c r="D596" t="s">
        <v>43</v>
      </c>
      <c r="E596" t="s">
        <v>1398</v>
      </c>
      <c r="F596" t="s">
        <v>1393</v>
      </c>
      <c r="G596" t="s">
        <v>1395</v>
      </c>
      <c r="H596" t="s">
        <v>1396</v>
      </c>
      <c r="I596" t="s">
        <v>1396</v>
      </c>
      <c r="J596" s="3">
        <f t="shared" si="9"/>
        <v>3.2708333333333335</v>
      </c>
    </row>
    <row r="597" spans="1:10" x14ac:dyDescent="0.3">
      <c r="A597" t="s">
        <v>646</v>
      </c>
      <c r="B597" t="s">
        <v>1395</v>
      </c>
      <c r="C597" t="s">
        <v>43</v>
      </c>
      <c r="D597" t="s">
        <v>1395</v>
      </c>
      <c r="E597" t="s">
        <v>1396</v>
      </c>
      <c r="F597" t="s">
        <v>43</v>
      </c>
      <c r="G597" t="s">
        <v>1397</v>
      </c>
      <c r="H597" t="s">
        <v>1396</v>
      </c>
      <c r="I597" t="s">
        <v>1395</v>
      </c>
      <c r="J597" s="3">
        <f t="shared" si="9"/>
        <v>2.9375</v>
      </c>
    </row>
    <row r="598" spans="1:10" x14ac:dyDescent="0.3">
      <c r="A598" t="s">
        <v>647</v>
      </c>
      <c r="B598" t="s">
        <v>1395</v>
      </c>
      <c r="C598" t="s">
        <v>1396</v>
      </c>
      <c r="D598" t="s">
        <v>1398</v>
      </c>
      <c r="E598" t="s">
        <v>1394</v>
      </c>
      <c r="F598" t="s">
        <v>1395</v>
      </c>
      <c r="G598" t="s">
        <v>1395</v>
      </c>
      <c r="H598" t="s">
        <v>1395</v>
      </c>
      <c r="I598" t="s">
        <v>43</v>
      </c>
      <c r="J598" s="3">
        <f t="shared" si="9"/>
        <v>3.1145833333333335</v>
      </c>
    </row>
    <row r="599" spans="1:10" x14ac:dyDescent="0.3">
      <c r="A599" t="s">
        <v>648</v>
      </c>
      <c r="B599" t="s">
        <v>1396</v>
      </c>
      <c r="C599" t="s">
        <v>1394</v>
      </c>
      <c r="D599" t="s">
        <v>1395</v>
      </c>
      <c r="E599" t="s">
        <v>1398</v>
      </c>
      <c r="F599" t="s">
        <v>1394</v>
      </c>
      <c r="G599" t="s">
        <v>1397</v>
      </c>
      <c r="H599" t="s">
        <v>1393</v>
      </c>
      <c r="I599" t="s">
        <v>1394</v>
      </c>
      <c r="J599" s="3">
        <f t="shared" si="9"/>
        <v>3.3958333333333335</v>
      </c>
    </row>
    <row r="600" spans="1:10" x14ac:dyDescent="0.3">
      <c r="A600" t="s">
        <v>649</v>
      </c>
      <c r="B600" t="s">
        <v>1393</v>
      </c>
      <c r="C600" t="s">
        <v>1398</v>
      </c>
      <c r="D600" t="s">
        <v>1393</v>
      </c>
      <c r="E600" t="s">
        <v>1394</v>
      </c>
      <c r="F600" t="s">
        <v>1393</v>
      </c>
      <c r="G600" t="s">
        <v>1394</v>
      </c>
      <c r="H600" t="s">
        <v>1397</v>
      </c>
      <c r="I600" t="s">
        <v>1397</v>
      </c>
      <c r="J600" s="3">
        <f t="shared" si="9"/>
        <v>3.3333333333333335</v>
      </c>
    </row>
    <row r="601" spans="1:10" x14ac:dyDescent="0.3">
      <c r="A601" t="s">
        <v>650</v>
      </c>
      <c r="B601" t="s">
        <v>43</v>
      </c>
      <c r="C601" t="s">
        <v>1399</v>
      </c>
      <c r="D601" t="s">
        <v>1396</v>
      </c>
      <c r="E601" t="s">
        <v>43</v>
      </c>
      <c r="F601" t="s">
        <v>1393</v>
      </c>
      <c r="G601" t="s">
        <v>43</v>
      </c>
      <c r="H601" t="s">
        <v>1395</v>
      </c>
      <c r="I601" t="s">
        <v>1394</v>
      </c>
      <c r="J601" s="3">
        <f t="shared" si="9"/>
        <v>2.5625</v>
      </c>
    </row>
    <row r="602" spans="1:10" x14ac:dyDescent="0.3">
      <c r="A602" t="s">
        <v>651</v>
      </c>
      <c r="B602" t="s">
        <v>1397</v>
      </c>
      <c r="C602" t="s">
        <v>43</v>
      </c>
      <c r="D602" t="s">
        <v>1395</v>
      </c>
      <c r="E602" t="s">
        <v>1393</v>
      </c>
      <c r="F602" t="s">
        <v>43</v>
      </c>
      <c r="G602" t="s">
        <v>1398</v>
      </c>
      <c r="H602" t="s">
        <v>1396</v>
      </c>
      <c r="I602" t="s">
        <v>1400</v>
      </c>
      <c r="J602" s="3">
        <f t="shared" si="9"/>
        <v>2.3333333333333335</v>
      </c>
    </row>
    <row r="603" spans="1:10" x14ac:dyDescent="0.3">
      <c r="A603" t="s">
        <v>652</v>
      </c>
      <c r="B603" t="s">
        <v>1393</v>
      </c>
      <c r="C603" t="s">
        <v>1393</v>
      </c>
      <c r="D603" t="s">
        <v>1393</v>
      </c>
      <c r="E603" t="s">
        <v>1393</v>
      </c>
      <c r="F603" t="s">
        <v>1397</v>
      </c>
      <c r="G603" t="s">
        <v>1397</v>
      </c>
      <c r="H603" t="s">
        <v>1393</v>
      </c>
      <c r="I603" t="s">
        <v>1394</v>
      </c>
      <c r="J603" s="3">
        <f t="shared" si="9"/>
        <v>3.75</v>
      </c>
    </row>
    <row r="604" spans="1:10" x14ac:dyDescent="0.3">
      <c r="A604" t="s">
        <v>653</v>
      </c>
      <c r="B604" t="s">
        <v>1394</v>
      </c>
      <c r="C604" t="s">
        <v>1396</v>
      </c>
      <c r="D604" t="s">
        <v>1397</v>
      </c>
      <c r="E604" t="s">
        <v>1399</v>
      </c>
      <c r="F604" t="s">
        <v>1395</v>
      </c>
      <c r="G604" t="s">
        <v>1400</v>
      </c>
      <c r="H604" t="s">
        <v>1395</v>
      </c>
      <c r="I604" t="s">
        <v>1395</v>
      </c>
      <c r="J604" s="3">
        <f t="shared" si="9"/>
        <v>2.7916666666666665</v>
      </c>
    </row>
    <row r="605" spans="1:10" x14ac:dyDescent="0.3">
      <c r="A605" t="s">
        <v>654</v>
      </c>
      <c r="B605" t="s">
        <v>1394</v>
      </c>
      <c r="C605" t="s">
        <v>1394</v>
      </c>
      <c r="D605" t="s">
        <v>1400</v>
      </c>
      <c r="E605" t="s">
        <v>1400</v>
      </c>
      <c r="F605" t="s">
        <v>1397</v>
      </c>
      <c r="G605" t="s">
        <v>1394</v>
      </c>
      <c r="H605" t="s">
        <v>1394</v>
      </c>
      <c r="I605" t="s">
        <v>1394</v>
      </c>
      <c r="J605" s="3">
        <f t="shared" si="9"/>
        <v>2.8854166666666665</v>
      </c>
    </row>
    <row r="606" spans="1:10" x14ac:dyDescent="0.3">
      <c r="A606" t="s">
        <v>655</v>
      </c>
      <c r="B606" t="s">
        <v>1395</v>
      </c>
      <c r="C606" t="s">
        <v>1397</v>
      </c>
      <c r="D606" t="s">
        <v>1393</v>
      </c>
      <c r="E606" t="s">
        <v>1396</v>
      </c>
      <c r="F606" t="s">
        <v>1397</v>
      </c>
      <c r="G606" t="s">
        <v>1393</v>
      </c>
      <c r="H606" t="s">
        <v>1395</v>
      </c>
      <c r="I606" t="s">
        <v>1398</v>
      </c>
      <c r="J606" s="3">
        <f t="shared" si="9"/>
        <v>3.1666666666666665</v>
      </c>
    </row>
    <row r="607" spans="1:10" x14ac:dyDescent="0.3">
      <c r="A607" t="s">
        <v>656</v>
      </c>
      <c r="B607" t="s">
        <v>1396</v>
      </c>
      <c r="C607" t="s">
        <v>1396</v>
      </c>
      <c r="D607" t="s">
        <v>43</v>
      </c>
      <c r="E607" t="s">
        <v>1396</v>
      </c>
      <c r="F607" t="s">
        <v>1395</v>
      </c>
      <c r="G607" t="s">
        <v>1395</v>
      </c>
      <c r="H607" t="s">
        <v>1399</v>
      </c>
      <c r="I607" t="s">
        <v>43</v>
      </c>
      <c r="J607" s="3">
        <f t="shared" si="9"/>
        <v>2.5833333333333335</v>
      </c>
    </row>
    <row r="608" spans="1:10" x14ac:dyDescent="0.3">
      <c r="A608" t="s">
        <v>657</v>
      </c>
      <c r="B608" t="s">
        <v>43</v>
      </c>
      <c r="C608" t="s">
        <v>1396</v>
      </c>
      <c r="D608" t="s">
        <v>1393</v>
      </c>
      <c r="E608" t="s">
        <v>1394</v>
      </c>
      <c r="F608" t="s">
        <v>1395</v>
      </c>
      <c r="G608" t="s">
        <v>1397</v>
      </c>
      <c r="H608" t="s">
        <v>1393</v>
      </c>
      <c r="I608" t="s">
        <v>1398</v>
      </c>
      <c r="J608" s="3">
        <f t="shared" si="9"/>
        <v>3.0729166666666665</v>
      </c>
    </row>
    <row r="609" spans="1:10" x14ac:dyDescent="0.3">
      <c r="A609" t="s">
        <v>658</v>
      </c>
      <c r="B609" t="s">
        <v>1398</v>
      </c>
      <c r="C609" t="s">
        <v>1396</v>
      </c>
      <c r="D609" t="s">
        <v>1393</v>
      </c>
      <c r="E609" t="s">
        <v>1398</v>
      </c>
      <c r="F609" t="s">
        <v>1395</v>
      </c>
      <c r="G609" t="s">
        <v>1397</v>
      </c>
      <c r="H609" t="s">
        <v>1396</v>
      </c>
      <c r="I609" t="s">
        <v>1397</v>
      </c>
      <c r="J609" s="3">
        <f t="shared" si="9"/>
        <v>2.9166666666666665</v>
      </c>
    </row>
    <row r="610" spans="1:10" x14ac:dyDescent="0.3">
      <c r="A610" t="s">
        <v>659</v>
      </c>
      <c r="B610" t="s">
        <v>1395</v>
      </c>
      <c r="C610" t="s">
        <v>1399</v>
      </c>
      <c r="D610" t="s">
        <v>1399</v>
      </c>
      <c r="E610" t="s">
        <v>43</v>
      </c>
      <c r="F610" t="s">
        <v>1396</v>
      </c>
      <c r="G610" t="s">
        <v>1395</v>
      </c>
      <c r="H610" t="s">
        <v>1395</v>
      </c>
      <c r="I610" t="s">
        <v>1394</v>
      </c>
      <c r="J610" s="3">
        <f t="shared" si="9"/>
        <v>2.6875</v>
      </c>
    </row>
    <row r="611" spans="1:10" x14ac:dyDescent="0.3">
      <c r="A611" t="s">
        <v>660</v>
      </c>
      <c r="B611" t="s">
        <v>43</v>
      </c>
      <c r="C611" t="s">
        <v>1398</v>
      </c>
      <c r="D611" t="s">
        <v>1398</v>
      </c>
      <c r="E611" t="s">
        <v>1398</v>
      </c>
      <c r="F611" t="s">
        <v>1400</v>
      </c>
      <c r="G611" t="s">
        <v>1397</v>
      </c>
      <c r="H611" t="s">
        <v>1395</v>
      </c>
      <c r="I611" t="s">
        <v>1398</v>
      </c>
      <c r="J611" s="3">
        <f t="shared" si="9"/>
        <v>2.3541666666666665</v>
      </c>
    </row>
    <row r="612" spans="1:10" x14ac:dyDescent="0.3">
      <c r="A612" t="s">
        <v>661</v>
      </c>
      <c r="B612" t="s">
        <v>1394</v>
      </c>
      <c r="C612" t="s">
        <v>1396</v>
      </c>
      <c r="D612" t="s">
        <v>1394</v>
      </c>
      <c r="E612" t="s">
        <v>43</v>
      </c>
      <c r="F612" t="s">
        <v>1396</v>
      </c>
      <c r="G612" t="s">
        <v>1394</v>
      </c>
      <c r="H612" t="s">
        <v>43</v>
      </c>
      <c r="I612" t="s">
        <v>1393</v>
      </c>
      <c r="J612" s="3">
        <f t="shared" si="9"/>
        <v>3.1666666666666665</v>
      </c>
    </row>
    <row r="613" spans="1:10" x14ac:dyDescent="0.3">
      <c r="A613" t="s">
        <v>662</v>
      </c>
      <c r="B613" t="s">
        <v>1399</v>
      </c>
      <c r="C613" t="s">
        <v>1398</v>
      </c>
      <c r="D613" t="s">
        <v>1393</v>
      </c>
      <c r="E613" t="s">
        <v>1398</v>
      </c>
      <c r="F613" t="s">
        <v>1396</v>
      </c>
      <c r="G613" t="s">
        <v>43</v>
      </c>
      <c r="H613" t="s">
        <v>1396</v>
      </c>
      <c r="I613" t="s">
        <v>1395</v>
      </c>
      <c r="J613" s="3">
        <f t="shared" si="9"/>
        <v>2.6041666666666665</v>
      </c>
    </row>
    <row r="614" spans="1:10" x14ac:dyDescent="0.3">
      <c r="A614" t="s">
        <v>663</v>
      </c>
      <c r="B614" t="s">
        <v>1399</v>
      </c>
      <c r="C614" t="s">
        <v>1393</v>
      </c>
      <c r="D614" t="s">
        <v>1398</v>
      </c>
      <c r="E614" t="s">
        <v>1393</v>
      </c>
      <c r="F614" t="s">
        <v>1394</v>
      </c>
      <c r="G614" t="s">
        <v>1393</v>
      </c>
      <c r="H614" t="s">
        <v>43</v>
      </c>
      <c r="I614" t="s">
        <v>1395</v>
      </c>
      <c r="J614" s="3">
        <f t="shared" si="9"/>
        <v>3.0208333333333335</v>
      </c>
    </row>
    <row r="615" spans="1:10" x14ac:dyDescent="0.3">
      <c r="A615" t="s">
        <v>664</v>
      </c>
      <c r="B615" t="s">
        <v>1397</v>
      </c>
      <c r="C615" t="s">
        <v>1394</v>
      </c>
      <c r="D615" t="s">
        <v>1397</v>
      </c>
      <c r="E615" t="s">
        <v>1397</v>
      </c>
      <c r="F615" t="s">
        <v>1393</v>
      </c>
      <c r="G615" t="s">
        <v>1396</v>
      </c>
      <c r="H615" t="s">
        <v>1397</v>
      </c>
      <c r="I615" t="s">
        <v>1394</v>
      </c>
      <c r="J615" s="3">
        <f t="shared" si="9"/>
        <v>3.2083333333333335</v>
      </c>
    </row>
    <row r="616" spans="1:10" x14ac:dyDescent="0.3">
      <c r="A616" t="s">
        <v>665</v>
      </c>
      <c r="B616" t="s">
        <v>1397</v>
      </c>
      <c r="C616" t="s">
        <v>1394</v>
      </c>
      <c r="D616" t="s">
        <v>1395</v>
      </c>
      <c r="E616" t="s">
        <v>43</v>
      </c>
      <c r="F616" t="s">
        <v>1399</v>
      </c>
      <c r="G616" t="s">
        <v>1400</v>
      </c>
      <c r="H616" t="s">
        <v>1395</v>
      </c>
      <c r="I616" t="s">
        <v>1396</v>
      </c>
      <c r="J616" s="3">
        <f t="shared" si="9"/>
        <v>2.6458333333333335</v>
      </c>
    </row>
    <row r="617" spans="1:10" x14ac:dyDescent="0.3">
      <c r="A617" t="s">
        <v>666</v>
      </c>
      <c r="B617" t="s">
        <v>1398</v>
      </c>
      <c r="C617" t="s">
        <v>1398</v>
      </c>
      <c r="D617" t="s">
        <v>1396</v>
      </c>
      <c r="E617" t="s">
        <v>43</v>
      </c>
      <c r="F617" t="s">
        <v>1395</v>
      </c>
      <c r="G617" t="s">
        <v>1399</v>
      </c>
      <c r="H617" t="s">
        <v>1396</v>
      </c>
      <c r="I617" t="s">
        <v>1393</v>
      </c>
      <c r="J617" s="3">
        <f t="shared" si="9"/>
        <v>2.75</v>
      </c>
    </row>
    <row r="618" spans="1:10" x14ac:dyDescent="0.3">
      <c r="A618" t="s">
        <v>667</v>
      </c>
      <c r="B618" t="s">
        <v>1397</v>
      </c>
      <c r="C618" t="s">
        <v>1393</v>
      </c>
      <c r="D618" t="s">
        <v>1397</v>
      </c>
      <c r="E618" t="s">
        <v>1393</v>
      </c>
      <c r="F618" t="s">
        <v>1400</v>
      </c>
      <c r="G618" t="s">
        <v>1396</v>
      </c>
      <c r="H618" t="s">
        <v>1397</v>
      </c>
      <c r="I618" t="s">
        <v>1393</v>
      </c>
      <c r="J618" s="3">
        <f t="shared" si="9"/>
        <v>3.1145833333333335</v>
      </c>
    </row>
    <row r="619" spans="1:10" x14ac:dyDescent="0.3">
      <c r="A619" t="s">
        <v>668</v>
      </c>
      <c r="B619" t="s">
        <v>1397</v>
      </c>
      <c r="C619" t="s">
        <v>1395</v>
      </c>
      <c r="D619" t="s">
        <v>1394</v>
      </c>
      <c r="E619" t="s">
        <v>1398</v>
      </c>
      <c r="F619" t="s">
        <v>1393</v>
      </c>
      <c r="G619" t="s">
        <v>1396</v>
      </c>
      <c r="H619" t="s">
        <v>1393</v>
      </c>
      <c r="I619" t="s">
        <v>43</v>
      </c>
      <c r="J619" s="3">
        <f t="shared" si="9"/>
        <v>3.0833333333333335</v>
      </c>
    </row>
    <row r="620" spans="1:10" x14ac:dyDescent="0.3">
      <c r="A620" t="s">
        <v>669</v>
      </c>
      <c r="B620" t="s">
        <v>43</v>
      </c>
      <c r="C620" t="s">
        <v>1393</v>
      </c>
      <c r="D620" t="s">
        <v>1396</v>
      </c>
      <c r="E620" t="s">
        <v>1396</v>
      </c>
      <c r="F620" t="s">
        <v>1397</v>
      </c>
      <c r="G620" t="s">
        <v>1397</v>
      </c>
      <c r="H620" t="s">
        <v>1395</v>
      </c>
      <c r="I620" t="s">
        <v>1399</v>
      </c>
      <c r="J620" s="3">
        <f t="shared" si="9"/>
        <v>2.6875</v>
      </c>
    </row>
    <row r="621" spans="1:10" x14ac:dyDescent="0.3">
      <c r="A621" t="s">
        <v>670</v>
      </c>
      <c r="B621" t="s">
        <v>1394</v>
      </c>
      <c r="C621" t="s">
        <v>1393</v>
      </c>
      <c r="D621" t="s">
        <v>1398</v>
      </c>
      <c r="E621" t="s">
        <v>1393</v>
      </c>
      <c r="F621" t="s">
        <v>1394</v>
      </c>
      <c r="G621" t="s">
        <v>1396</v>
      </c>
      <c r="H621" t="s">
        <v>1395</v>
      </c>
      <c r="I621" t="s">
        <v>1394</v>
      </c>
      <c r="J621" s="3">
        <f t="shared" si="9"/>
        <v>3.625</v>
      </c>
    </row>
    <row r="622" spans="1:10" x14ac:dyDescent="0.3">
      <c r="A622" t="s">
        <v>671</v>
      </c>
      <c r="B622" t="s">
        <v>43</v>
      </c>
      <c r="C622" t="s">
        <v>1396</v>
      </c>
      <c r="D622" t="s">
        <v>1398</v>
      </c>
      <c r="E622" t="s">
        <v>1394</v>
      </c>
      <c r="F622" t="s">
        <v>43</v>
      </c>
      <c r="G622" t="s">
        <v>1394</v>
      </c>
      <c r="H622" t="s">
        <v>43</v>
      </c>
      <c r="I622" t="s">
        <v>1396</v>
      </c>
      <c r="J622" s="3">
        <f t="shared" si="9"/>
        <v>2.7395833333333335</v>
      </c>
    </row>
    <row r="623" spans="1:10" x14ac:dyDescent="0.3">
      <c r="A623" t="s">
        <v>672</v>
      </c>
      <c r="B623" t="s">
        <v>1400</v>
      </c>
      <c r="C623" t="s">
        <v>1398</v>
      </c>
      <c r="D623" t="s">
        <v>1397</v>
      </c>
      <c r="E623" t="s">
        <v>1396</v>
      </c>
      <c r="F623" t="s">
        <v>43</v>
      </c>
      <c r="G623" t="s">
        <v>1395</v>
      </c>
      <c r="H623" t="s">
        <v>1393</v>
      </c>
      <c r="I623" t="s">
        <v>43</v>
      </c>
      <c r="J623" s="3">
        <f t="shared" si="9"/>
        <v>2.3125</v>
      </c>
    </row>
    <row r="624" spans="1:10" x14ac:dyDescent="0.3">
      <c r="A624" t="s">
        <v>673</v>
      </c>
      <c r="B624" t="s">
        <v>1398</v>
      </c>
      <c r="C624" t="s">
        <v>1397</v>
      </c>
      <c r="D624" t="s">
        <v>1397</v>
      </c>
      <c r="E624" t="s">
        <v>1394</v>
      </c>
      <c r="F624" t="s">
        <v>1396</v>
      </c>
      <c r="G624" t="s">
        <v>1398</v>
      </c>
      <c r="H624" t="s">
        <v>1399</v>
      </c>
      <c r="I624" t="s">
        <v>43</v>
      </c>
      <c r="J624" s="3">
        <f t="shared" si="9"/>
        <v>2.4895833333333335</v>
      </c>
    </row>
    <row r="625" spans="1:10" x14ac:dyDescent="0.3">
      <c r="A625" t="s">
        <v>674</v>
      </c>
      <c r="B625" t="s">
        <v>1394</v>
      </c>
      <c r="C625" t="s">
        <v>1397</v>
      </c>
      <c r="D625" t="s">
        <v>1396</v>
      </c>
      <c r="E625" t="s">
        <v>1395</v>
      </c>
      <c r="F625" t="s">
        <v>1394</v>
      </c>
      <c r="G625" t="s">
        <v>1393</v>
      </c>
      <c r="H625" t="s">
        <v>1396</v>
      </c>
      <c r="I625" t="s">
        <v>1396</v>
      </c>
      <c r="J625" s="3">
        <f t="shared" si="9"/>
        <v>3.2916666666666665</v>
      </c>
    </row>
    <row r="626" spans="1:10" x14ac:dyDescent="0.3">
      <c r="A626" t="s">
        <v>675</v>
      </c>
      <c r="B626" t="s">
        <v>1394</v>
      </c>
      <c r="C626" t="s">
        <v>1395</v>
      </c>
      <c r="D626" t="s">
        <v>1396</v>
      </c>
      <c r="E626" t="s">
        <v>1398</v>
      </c>
      <c r="F626" t="s">
        <v>1396</v>
      </c>
      <c r="G626" t="s">
        <v>1394</v>
      </c>
      <c r="H626" t="s">
        <v>43</v>
      </c>
      <c r="I626" t="s">
        <v>1395</v>
      </c>
      <c r="J626" s="3">
        <f t="shared" si="9"/>
        <v>3.1666666666666665</v>
      </c>
    </row>
    <row r="627" spans="1:10" x14ac:dyDescent="0.3">
      <c r="A627" t="s">
        <v>676</v>
      </c>
      <c r="B627" t="s">
        <v>1399</v>
      </c>
      <c r="C627" t="s">
        <v>1400</v>
      </c>
      <c r="D627" t="s">
        <v>1393</v>
      </c>
      <c r="E627" t="s">
        <v>1396</v>
      </c>
      <c r="F627" t="s">
        <v>1399</v>
      </c>
      <c r="G627" t="s">
        <v>1395</v>
      </c>
      <c r="H627" t="s">
        <v>1396</v>
      </c>
      <c r="I627" t="s">
        <v>1395</v>
      </c>
      <c r="J627" s="3">
        <f t="shared" si="9"/>
        <v>2.2083333333333335</v>
      </c>
    </row>
    <row r="628" spans="1:10" x14ac:dyDescent="0.3">
      <c r="A628" t="s">
        <v>677</v>
      </c>
      <c r="B628" t="s">
        <v>1393</v>
      </c>
      <c r="C628" t="s">
        <v>1394</v>
      </c>
      <c r="D628" t="s">
        <v>1393</v>
      </c>
      <c r="E628" t="s">
        <v>1394</v>
      </c>
      <c r="F628" t="s">
        <v>1396</v>
      </c>
      <c r="G628" t="s">
        <v>1396</v>
      </c>
      <c r="H628" t="s">
        <v>1399</v>
      </c>
      <c r="I628" t="s">
        <v>1397</v>
      </c>
      <c r="J628" s="3">
        <f t="shared" si="9"/>
        <v>3.1770833333333335</v>
      </c>
    </row>
    <row r="629" spans="1:10" x14ac:dyDescent="0.3">
      <c r="A629" t="s">
        <v>678</v>
      </c>
      <c r="B629" t="s">
        <v>1395</v>
      </c>
      <c r="C629" t="s">
        <v>1399</v>
      </c>
      <c r="D629" t="s">
        <v>1397</v>
      </c>
      <c r="E629" t="s">
        <v>1396</v>
      </c>
      <c r="F629" t="s">
        <v>43</v>
      </c>
      <c r="G629" t="s">
        <v>1397</v>
      </c>
      <c r="H629" t="s">
        <v>1395</v>
      </c>
      <c r="I629" t="s">
        <v>1396</v>
      </c>
      <c r="J629" s="3">
        <f t="shared" si="9"/>
        <v>2.6875</v>
      </c>
    </row>
    <row r="630" spans="1:10" x14ac:dyDescent="0.3">
      <c r="A630" t="s">
        <v>679</v>
      </c>
      <c r="B630" t="s">
        <v>1395</v>
      </c>
      <c r="C630" t="s">
        <v>1399</v>
      </c>
      <c r="D630" t="s">
        <v>1394</v>
      </c>
      <c r="E630" t="s">
        <v>1400</v>
      </c>
      <c r="F630" t="s">
        <v>1393</v>
      </c>
      <c r="G630" t="s">
        <v>1393</v>
      </c>
      <c r="H630" t="s">
        <v>1396</v>
      </c>
      <c r="I630" t="s">
        <v>1394</v>
      </c>
      <c r="J630" s="3">
        <f t="shared" si="9"/>
        <v>2.7291666666666665</v>
      </c>
    </row>
    <row r="631" spans="1:10" x14ac:dyDescent="0.3">
      <c r="A631" t="s">
        <v>680</v>
      </c>
      <c r="B631" t="s">
        <v>1396</v>
      </c>
      <c r="C631" t="s">
        <v>1393</v>
      </c>
      <c r="D631" t="s">
        <v>1398</v>
      </c>
      <c r="E631" t="s">
        <v>1397</v>
      </c>
      <c r="F631" t="s">
        <v>1397</v>
      </c>
      <c r="G631" t="s">
        <v>43</v>
      </c>
      <c r="H631" t="s">
        <v>1400</v>
      </c>
      <c r="I631" t="s">
        <v>1397</v>
      </c>
      <c r="J631" s="3">
        <f t="shared" si="9"/>
        <v>2.5729166666666665</v>
      </c>
    </row>
    <row r="632" spans="1:10" x14ac:dyDescent="0.3">
      <c r="A632" t="s">
        <v>681</v>
      </c>
      <c r="B632" t="s">
        <v>1397</v>
      </c>
      <c r="C632" t="s">
        <v>1393</v>
      </c>
      <c r="D632" t="s">
        <v>1393</v>
      </c>
      <c r="E632" t="s">
        <v>1395</v>
      </c>
      <c r="F632" t="s">
        <v>1399</v>
      </c>
      <c r="G632" t="s">
        <v>1395</v>
      </c>
      <c r="H632" t="s">
        <v>1396</v>
      </c>
      <c r="I632" t="s">
        <v>1393</v>
      </c>
      <c r="J632" s="3">
        <f t="shared" si="9"/>
        <v>3.3125</v>
      </c>
    </row>
    <row r="633" spans="1:10" x14ac:dyDescent="0.3">
      <c r="A633" t="s">
        <v>682</v>
      </c>
      <c r="B633" t="s">
        <v>1395</v>
      </c>
      <c r="C633" t="s">
        <v>43</v>
      </c>
      <c r="D633" t="s">
        <v>1396</v>
      </c>
      <c r="E633" t="s">
        <v>1398</v>
      </c>
      <c r="F633" t="s">
        <v>1393</v>
      </c>
      <c r="G633" t="s">
        <v>1394</v>
      </c>
      <c r="H633" t="s">
        <v>1394</v>
      </c>
      <c r="I633" t="s">
        <v>1398</v>
      </c>
      <c r="J633" s="3">
        <f t="shared" si="9"/>
        <v>3.0104166666666665</v>
      </c>
    </row>
    <row r="634" spans="1:10" x14ac:dyDescent="0.3">
      <c r="A634" t="s">
        <v>683</v>
      </c>
      <c r="B634" t="s">
        <v>1393</v>
      </c>
      <c r="C634" t="s">
        <v>1399</v>
      </c>
      <c r="D634" t="s">
        <v>1394</v>
      </c>
      <c r="E634" t="s">
        <v>43</v>
      </c>
      <c r="F634" t="s">
        <v>1396</v>
      </c>
      <c r="G634" t="s">
        <v>1395</v>
      </c>
      <c r="H634" t="s">
        <v>1399</v>
      </c>
      <c r="I634" t="s">
        <v>1395</v>
      </c>
      <c r="J634" s="3">
        <f t="shared" si="9"/>
        <v>2.6458333333333335</v>
      </c>
    </row>
    <row r="635" spans="1:10" x14ac:dyDescent="0.3">
      <c r="A635" t="s">
        <v>684</v>
      </c>
      <c r="B635" t="s">
        <v>1397</v>
      </c>
      <c r="C635" t="s">
        <v>1393</v>
      </c>
      <c r="D635" t="s">
        <v>1398</v>
      </c>
      <c r="E635" t="s">
        <v>1400</v>
      </c>
      <c r="F635" t="s">
        <v>1393</v>
      </c>
      <c r="G635" t="s">
        <v>1397</v>
      </c>
      <c r="H635" t="s">
        <v>1394</v>
      </c>
      <c r="I635" t="s">
        <v>1393</v>
      </c>
      <c r="J635" s="3">
        <f t="shared" si="9"/>
        <v>3.03125</v>
      </c>
    </row>
    <row r="636" spans="1:10" x14ac:dyDescent="0.3">
      <c r="A636" t="s">
        <v>685</v>
      </c>
      <c r="B636" t="s">
        <v>1395</v>
      </c>
      <c r="C636" t="s">
        <v>1397</v>
      </c>
      <c r="D636" t="s">
        <v>1399</v>
      </c>
      <c r="E636" t="s">
        <v>1400</v>
      </c>
      <c r="F636" t="s">
        <v>1400</v>
      </c>
      <c r="G636" t="s">
        <v>1396</v>
      </c>
      <c r="H636" t="s">
        <v>1397</v>
      </c>
      <c r="I636" t="s">
        <v>1394</v>
      </c>
      <c r="J636" s="3">
        <f t="shared" si="9"/>
        <v>2.34375</v>
      </c>
    </row>
    <row r="637" spans="1:10" x14ac:dyDescent="0.3">
      <c r="A637" t="s">
        <v>686</v>
      </c>
      <c r="B637" t="s">
        <v>1397</v>
      </c>
      <c r="C637" t="s">
        <v>1396</v>
      </c>
      <c r="D637" t="s">
        <v>1395</v>
      </c>
      <c r="E637" t="s">
        <v>43</v>
      </c>
      <c r="F637" t="s">
        <v>1394</v>
      </c>
      <c r="G637" t="s">
        <v>1393</v>
      </c>
      <c r="H637" t="s">
        <v>1394</v>
      </c>
      <c r="I637" t="s">
        <v>1393</v>
      </c>
      <c r="J637" s="3">
        <f t="shared" si="9"/>
        <v>3.28125</v>
      </c>
    </row>
    <row r="638" spans="1:10" x14ac:dyDescent="0.3">
      <c r="A638" t="s">
        <v>687</v>
      </c>
      <c r="B638" t="s">
        <v>1396</v>
      </c>
      <c r="C638" t="s">
        <v>1398</v>
      </c>
      <c r="D638" t="s">
        <v>1394</v>
      </c>
      <c r="E638" t="s">
        <v>1396</v>
      </c>
      <c r="F638" t="s">
        <v>1396</v>
      </c>
      <c r="G638" t="s">
        <v>1396</v>
      </c>
      <c r="H638" t="s">
        <v>1395</v>
      </c>
      <c r="I638" t="s">
        <v>1396</v>
      </c>
      <c r="J638" s="3">
        <f t="shared" si="9"/>
        <v>3.0416666666666665</v>
      </c>
    </row>
    <row r="639" spans="1:10" x14ac:dyDescent="0.3">
      <c r="A639" t="s">
        <v>688</v>
      </c>
      <c r="B639" t="s">
        <v>1393</v>
      </c>
      <c r="C639" t="s">
        <v>1393</v>
      </c>
      <c r="D639" t="s">
        <v>1395</v>
      </c>
      <c r="E639" t="s">
        <v>1394</v>
      </c>
      <c r="F639" t="s">
        <v>1398</v>
      </c>
      <c r="G639" t="s">
        <v>1394</v>
      </c>
      <c r="H639" t="s">
        <v>1398</v>
      </c>
      <c r="I639" t="s">
        <v>1394</v>
      </c>
      <c r="J639" s="3">
        <f t="shared" si="9"/>
        <v>3.5520833333333335</v>
      </c>
    </row>
    <row r="640" spans="1:10" x14ac:dyDescent="0.3">
      <c r="A640" t="s">
        <v>689</v>
      </c>
      <c r="B640" t="s">
        <v>1393</v>
      </c>
      <c r="C640" t="s">
        <v>1396</v>
      </c>
      <c r="D640" t="s">
        <v>1395</v>
      </c>
      <c r="E640" t="s">
        <v>1395</v>
      </c>
      <c r="F640" t="s">
        <v>1398</v>
      </c>
      <c r="G640" t="s">
        <v>1394</v>
      </c>
      <c r="H640" t="s">
        <v>1397</v>
      </c>
      <c r="I640" t="s">
        <v>1398</v>
      </c>
      <c r="J640" s="3">
        <f t="shared" si="9"/>
        <v>3.1770833333333335</v>
      </c>
    </row>
    <row r="641" spans="1:10" x14ac:dyDescent="0.3">
      <c r="A641" t="s">
        <v>690</v>
      </c>
      <c r="B641" t="s">
        <v>1396</v>
      </c>
      <c r="C641" t="s">
        <v>1396</v>
      </c>
      <c r="D641" t="s">
        <v>43</v>
      </c>
      <c r="E641" t="s">
        <v>1396</v>
      </c>
      <c r="F641" t="s">
        <v>1394</v>
      </c>
      <c r="G641" t="s">
        <v>1393</v>
      </c>
      <c r="H641" t="s">
        <v>1393</v>
      </c>
      <c r="I641" t="s">
        <v>1395</v>
      </c>
      <c r="J641" s="3">
        <f t="shared" si="9"/>
        <v>3.2708333333333335</v>
      </c>
    </row>
    <row r="642" spans="1:10" x14ac:dyDescent="0.3">
      <c r="A642" t="s">
        <v>691</v>
      </c>
      <c r="B642" t="s">
        <v>1393</v>
      </c>
      <c r="C642" t="s">
        <v>1397</v>
      </c>
      <c r="D642" t="s">
        <v>1395</v>
      </c>
      <c r="E642" t="s">
        <v>1395</v>
      </c>
      <c r="F642" t="s">
        <v>1396</v>
      </c>
      <c r="G642" t="s">
        <v>1399</v>
      </c>
      <c r="H642" t="s">
        <v>1394</v>
      </c>
      <c r="I642" t="s">
        <v>1394</v>
      </c>
      <c r="J642" s="3">
        <f t="shared" si="9"/>
        <v>3.28125</v>
      </c>
    </row>
    <row r="643" spans="1:10" x14ac:dyDescent="0.3">
      <c r="A643" t="s">
        <v>692</v>
      </c>
      <c r="B643" t="s">
        <v>1395</v>
      </c>
      <c r="C643" t="s">
        <v>1395</v>
      </c>
      <c r="D643" t="s">
        <v>43</v>
      </c>
      <c r="E643" t="s">
        <v>1397</v>
      </c>
      <c r="F643" t="s">
        <v>1395</v>
      </c>
      <c r="G643" t="s">
        <v>1394</v>
      </c>
      <c r="H643" t="s">
        <v>1393</v>
      </c>
      <c r="I643" t="s">
        <v>1393</v>
      </c>
      <c r="J643" s="3">
        <f t="shared" ref="J643:J701" si="10">(VLOOKUP(B643,$N$27:$O$36, 2,0)*4+VLOOKUP(C643,$N$27:$O$36, 2,0)*4+VLOOKUP(D643,$N$27:$O$36, 2,0)*2+VLOOKUP(E643,$N$27:$O$36, 2,0)*3+VLOOKUP(F643,$N$27:$O$36, 2,0)*2+VLOOKUP(G643,$N$27:$O$36, 2,0)*2+VLOOKUP(H643,$N$27:$O$36, 2,0)*3+VLOOKUP(I643,$N$27:$O$36, 2,0)*4)/24</f>
        <v>3.4479166666666665</v>
      </c>
    </row>
    <row r="644" spans="1:10" x14ac:dyDescent="0.3">
      <c r="A644" t="s">
        <v>693</v>
      </c>
      <c r="B644" t="s">
        <v>1398</v>
      </c>
      <c r="C644" t="s">
        <v>1397</v>
      </c>
      <c r="D644" t="s">
        <v>1394</v>
      </c>
      <c r="E644" t="s">
        <v>1396</v>
      </c>
      <c r="F644" t="s">
        <v>1393</v>
      </c>
      <c r="G644" t="s">
        <v>1396</v>
      </c>
      <c r="H644" t="s">
        <v>1395</v>
      </c>
      <c r="I644" t="s">
        <v>1393</v>
      </c>
      <c r="J644" s="3">
        <f t="shared" si="10"/>
        <v>3.25</v>
      </c>
    </row>
    <row r="645" spans="1:10" x14ac:dyDescent="0.3">
      <c r="A645" t="s">
        <v>694</v>
      </c>
      <c r="B645" t="s">
        <v>1397</v>
      </c>
      <c r="C645" t="s">
        <v>1397</v>
      </c>
      <c r="D645" t="s">
        <v>1396</v>
      </c>
      <c r="E645" t="s">
        <v>1394</v>
      </c>
      <c r="F645" t="s">
        <v>1397</v>
      </c>
      <c r="G645" t="s">
        <v>1395</v>
      </c>
      <c r="H645" t="s">
        <v>1397</v>
      </c>
      <c r="I645" t="s">
        <v>1393</v>
      </c>
      <c r="J645" s="3">
        <f t="shared" si="10"/>
        <v>3.1666666666666665</v>
      </c>
    </row>
    <row r="646" spans="1:10" x14ac:dyDescent="0.3">
      <c r="A646" t="s">
        <v>695</v>
      </c>
      <c r="B646" t="s">
        <v>43</v>
      </c>
      <c r="C646" t="s">
        <v>1393</v>
      </c>
      <c r="D646" t="s">
        <v>1394</v>
      </c>
      <c r="E646" t="s">
        <v>1395</v>
      </c>
      <c r="F646" t="s">
        <v>1394</v>
      </c>
      <c r="G646" t="s">
        <v>1393</v>
      </c>
      <c r="H646" t="s">
        <v>1397</v>
      </c>
      <c r="I646" t="s">
        <v>1400</v>
      </c>
      <c r="J646" s="3">
        <f t="shared" si="10"/>
        <v>2.7395833333333335</v>
      </c>
    </row>
    <row r="647" spans="1:10" x14ac:dyDescent="0.3">
      <c r="A647" t="s">
        <v>696</v>
      </c>
      <c r="B647" t="s">
        <v>1395</v>
      </c>
      <c r="C647" t="s">
        <v>1394</v>
      </c>
      <c r="D647" t="s">
        <v>1397</v>
      </c>
      <c r="E647" t="s">
        <v>1394</v>
      </c>
      <c r="F647" t="s">
        <v>1395</v>
      </c>
      <c r="G647" t="s">
        <v>1397</v>
      </c>
      <c r="H647" t="s">
        <v>1395</v>
      </c>
      <c r="I647" t="s">
        <v>1394</v>
      </c>
      <c r="J647" s="3">
        <f t="shared" si="10"/>
        <v>3.4895833333333335</v>
      </c>
    </row>
    <row r="648" spans="1:10" x14ac:dyDescent="0.3">
      <c r="A648" t="s">
        <v>697</v>
      </c>
      <c r="B648" t="s">
        <v>1393</v>
      </c>
      <c r="C648" t="s">
        <v>1396</v>
      </c>
      <c r="D648" t="s">
        <v>1400</v>
      </c>
      <c r="E648" t="s">
        <v>43</v>
      </c>
      <c r="F648" t="s">
        <v>1393</v>
      </c>
      <c r="G648" t="s">
        <v>1396</v>
      </c>
      <c r="H648" t="s">
        <v>1396</v>
      </c>
      <c r="I648" t="s">
        <v>1394</v>
      </c>
      <c r="J648" s="3">
        <f t="shared" si="10"/>
        <v>3</v>
      </c>
    </row>
    <row r="649" spans="1:10" x14ac:dyDescent="0.3">
      <c r="A649" t="s">
        <v>698</v>
      </c>
      <c r="B649" t="s">
        <v>1397</v>
      </c>
      <c r="C649" t="s">
        <v>1396</v>
      </c>
      <c r="D649" t="s">
        <v>1398</v>
      </c>
      <c r="E649" t="s">
        <v>1394</v>
      </c>
      <c r="F649" t="s">
        <v>1399</v>
      </c>
      <c r="G649" t="s">
        <v>1398</v>
      </c>
      <c r="H649" t="s">
        <v>1396</v>
      </c>
      <c r="I649" t="s">
        <v>1393</v>
      </c>
      <c r="J649" s="3">
        <f t="shared" si="10"/>
        <v>2.96875</v>
      </c>
    </row>
    <row r="650" spans="1:10" x14ac:dyDescent="0.3">
      <c r="A650" t="s">
        <v>699</v>
      </c>
      <c r="B650" t="s">
        <v>1396</v>
      </c>
      <c r="C650" t="s">
        <v>1393</v>
      </c>
      <c r="D650" t="s">
        <v>1397</v>
      </c>
      <c r="E650" t="s">
        <v>1397</v>
      </c>
      <c r="F650" t="s">
        <v>1396</v>
      </c>
      <c r="G650" t="s">
        <v>1400</v>
      </c>
      <c r="H650" t="s">
        <v>1393</v>
      </c>
      <c r="I650" t="s">
        <v>1397</v>
      </c>
      <c r="J650" s="3">
        <f t="shared" si="10"/>
        <v>2.9479166666666665</v>
      </c>
    </row>
    <row r="651" spans="1:10" x14ac:dyDescent="0.3">
      <c r="A651" t="s">
        <v>700</v>
      </c>
      <c r="B651" t="s">
        <v>1398</v>
      </c>
      <c r="C651" t="s">
        <v>1393</v>
      </c>
      <c r="D651" t="s">
        <v>1395</v>
      </c>
      <c r="E651" t="s">
        <v>1393</v>
      </c>
      <c r="F651" t="s">
        <v>1396</v>
      </c>
      <c r="G651" t="s">
        <v>1397</v>
      </c>
      <c r="H651" t="s">
        <v>1395</v>
      </c>
      <c r="I651" t="s">
        <v>1397</v>
      </c>
      <c r="J651" s="3">
        <f t="shared" si="10"/>
        <v>3.25</v>
      </c>
    </row>
    <row r="652" spans="1:10" x14ac:dyDescent="0.3">
      <c r="A652" t="s">
        <v>701</v>
      </c>
      <c r="B652" t="s">
        <v>1395</v>
      </c>
      <c r="C652" t="s">
        <v>1397</v>
      </c>
      <c r="D652" t="s">
        <v>1394</v>
      </c>
      <c r="E652" t="s">
        <v>1400</v>
      </c>
      <c r="F652" t="s">
        <v>1395</v>
      </c>
      <c r="G652" t="s">
        <v>1393</v>
      </c>
      <c r="H652" t="s">
        <v>1393</v>
      </c>
      <c r="I652" t="s">
        <v>1397</v>
      </c>
      <c r="J652" s="3">
        <f t="shared" si="10"/>
        <v>2.9375</v>
      </c>
    </row>
    <row r="653" spans="1:10" x14ac:dyDescent="0.3">
      <c r="A653" t="s">
        <v>702</v>
      </c>
      <c r="B653" t="s">
        <v>43</v>
      </c>
      <c r="C653" t="s">
        <v>1397</v>
      </c>
      <c r="D653" t="s">
        <v>1394</v>
      </c>
      <c r="E653" t="s">
        <v>43</v>
      </c>
      <c r="F653" t="s">
        <v>1397</v>
      </c>
      <c r="G653" t="s">
        <v>1393</v>
      </c>
      <c r="H653" t="s">
        <v>1395</v>
      </c>
      <c r="I653" t="s">
        <v>1397</v>
      </c>
      <c r="J653" s="3">
        <f t="shared" si="10"/>
        <v>2.8125</v>
      </c>
    </row>
    <row r="654" spans="1:10" x14ac:dyDescent="0.3">
      <c r="A654" t="s">
        <v>703</v>
      </c>
      <c r="B654" t="s">
        <v>1393</v>
      </c>
      <c r="C654" t="s">
        <v>1393</v>
      </c>
      <c r="D654" t="s">
        <v>1395</v>
      </c>
      <c r="E654" t="s">
        <v>43</v>
      </c>
      <c r="F654" t="s">
        <v>1400</v>
      </c>
      <c r="G654" t="s">
        <v>1395</v>
      </c>
      <c r="H654" t="s">
        <v>43</v>
      </c>
      <c r="I654" t="s">
        <v>1398</v>
      </c>
      <c r="J654" s="3">
        <f t="shared" si="10"/>
        <v>2.8333333333333335</v>
      </c>
    </row>
    <row r="655" spans="1:10" x14ac:dyDescent="0.3">
      <c r="A655" t="s">
        <v>704</v>
      </c>
      <c r="B655" t="s">
        <v>43</v>
      </c>
      <c r="C655" t="s">
        <v>1396</v>
      </c>
      <c r="D655" t="s">
        <v>1399</v>
      </c>
      <c r="E655" t="s">
        <v>1397</v>
      </c>
      <c r="F655" t="s">
        <v>1399</v>
      </c>
      <c r="G655" t="s">
        <v>1396</v>
      </c>
      <c r="H655" t="s">
        <v>1394</v>
      </c>
      <c r="I655" t="s">
        <v>1396</v>
      </c>
      <c r="J655" s="3">
        <f t="shared" si="10"/>
        <v>2.5625</v>
      </c>
    </row>
    <row r="656" spans="1:10" x14ac:dyDescent="0.3">
      <c r="A656" t="s">
        <v>705</v>
      </c>
      <c r="B656" t="s">
        <v>1396</v>
      </c>
      <c r="C656" t="s">
        <v>1395</v>
      </c>
      <c r="D656" t="s">
        <v>1395</v>
      </c>
      <c r="E656" t="s">
        <v>1396</v>
      </c>
      <c r="F656" t="s">
        <v>1396</v>
      </c>
      <c r="G656" t="s">
        <v>1394</v>
      </c>
      <c r="H656" t="s">
        <v>1394</v>
      </c>
      <c r="I656" t="s">
        <v>1396</v>
      </c>
      <c r="J656" s="3">
        <f t="shared" si="10"/>
        <v>3.28125</v>
      </c>
    </row>
    <row r="657" spans="1:10" x14ac:dyDescent="0.3">
      <c r="A657" t="s">
        <v>706</v>
      </c>
      <c r="B657" t="s">
        <v>1396</v>
      </c>
      <c r="C657" t="s">
        <v>1395</v>
      </c>
      <c r="D657" t="s">
        <v>1397</v>
      </c>
      <c r="E657" t="s">
        <v>1394</v>
      </c>
      <c r="F657" t="s">
        <v>1396</v>
      </c>
      <c r="G657" t="s">
        <v>1394</v>
      </c>
      <c r="H657" t="s">
        <v>1398</v>
      </c>
      <c r="I657" t="s">
        <v>1397</v>
      </c>
      <c r="J657" s="3">
        <f t="shared" si="10"/>
        <v>3.1145833333333335</v>
      </c>
    </row>
    <row r="658" spans="1:10" x14ac:dyDescent="0.3">
      <c r="A658" t="s">
        <v>707</v>
      </c>
      <c r="B658" t="s">
        <v>1398</v>
      </c>
      <c r="C658" t="s">
        <v>1396</v>
      </c>
      <c r="D658" t="s">
        <v>1394</v>
      </c>
      <c r="E658" t="s">
        <v>43</v>
      </c>
      <c r="F658" t="s">
        <v>1396</v>
      </c>
      <c r="G658" t="s">
        <v>1395</v>
      </c>
      <c r="H658" t="s">
        <v>1394</v>
      </c>
      <c r="I658" t="s">
        <v>1395</v>
      </c>
      <c r="J658" s="3">
        <f t="shared" si="10"/>
        <v>3.0729166666666665</v>
      </c>
    </row>
    <row r="659" spans="1:10" x14ac:dyDescent="0.3">
      <c r="A659" t="s">
        <v>708</v>
      </c>
      <c r="B659" t="s">
        <v>1397</v>
      </c>
      <c r="C659" t="s">
        <v>1398</v>
      </c>
      <c r="D659" t="s">
        <v>1396</v>
      </c>
      <c r="E659" t="s">
        <v>1397</v>
      </c>
      <c r="F659" t="s">
        <v>1394</v>
      </c>
      <c r="G659" t="s">
        <v>1396</v>
      </c>
      <c r="H659" t="s">
        <v>1395</v>
      </c>
      <c r="I659" t="s">
        <v>1395</v>
      </c>
      <c r="J659" s="3">
        <f t="shared" si="10"/>
        <v>3.0520833333333335</v>
      </c>
    </row>
    <row r="660" spans="1:10" x14ac:dyDescent="0.3">
      <c r="A660" t="s">
        <v>709</v>
      </c>
      <c r="B660" t="s">
        <v>1395</v>
      </c>
      <c r="C660" t="s">
        <v>1398</v>
      </c>
      <c r="D660" t="s">
        <v>1397</v>
      </c>
      <c r="E660" t="s">
        <v>1394</v>
      </c>
      <c r="F660" t="s">
        <v>1394</v>
      </c>
      <c r="G660" t="s">
        <v>1398</v>
      </c>
      <c r="H660" t="s">
        <v>1397</v>
      </c>
      <c r="I660" t="s">
        <v>1397</v>
      </c>
      <c r="J660" s="3">
        <f t="shared" si="10"/>
        <v>3.0208333333333335</v>
      </c>
    </row>
    <row r="661" spans="1:10" x14ac:dyDescent="0.3">
      <c r="A661" t="s">
        <v>710</v>
      </c>
      <c r="B661" t="s">
        <v>1397</v>
      </c>
      <c r="C661" t="s">
        <v>1397</v>
      </c>
      <c r="D661" t="s">
        <v>1394</v>
      </c>
      <c r="E661" t="s">
        <v>1393</v>
      </c>
      <c r="F661" t="s">
        <v>1395</v>
      </c>
      <c r="G661" t="s">
        <v>1393</v>
      </c>
      <c r="H661" t="s">
        <v>1399</v>
      </c>
      <c r="I661" t="s">
        <v>1396</v>
      </c>
      <c r="J661" s="3">
        <f t="shared" si="10"/>
        <v>2.9791666666666665</v>
      </c>
    </row>
    <row r="662" spans="1:10" x14ac:dyDescent="0.3">
      <c r="A662" t="s">
        <v>711</v>
      </c>
      <c r="B662" t="s">
        <v>1397</v>
      </c>
      <c r="C662" t="s">
        <v>1399</v>
      </c>
      <c r="D662" t="s">
        <v>1398</v>
      </c>
      <c r="E662" t="s">
        <v>1394</v>
      </c>
      <c r="F662" t="s">
        <v>1395</v>
      </c>
      <c r="G662" t="s">
        <v>1393</v>
      </c>
      <c r="H662" t="s">
        <v>1398</v>
      </c>
      <c r="I662" t="s">
        <v>1397</v>
      </c>
      <c r="J662" s="3">
        <f t="shared" si="10"/>
        <v>2.6979166666666665</v>
      </c>
    </row>
    <row r="663" spans="1:10" x14ac:dyDescent="0.3">
      <c r="A663" t="s">
        <v>712</v>
      </c>
      <c r="B663" t="s">
        <v>1396</v>
      </c>
      <c r="C663" t="s">
        <v>1395</v>
      </c>
      <c r="D663" t="s">
        <v>1394</v>
      </c>
      <c r="E663" t="s">
        <v>1396</v>
      </c>
      <c r="F663" t="s">
        <v>1397</v>
      </c>
      <c r="G663" t="s">
        <v>43</v>
      </c>
      <c r="H663" t="s">
        <v>1398</v>
      </c>
      <c r="I663" t="s">
        <v>43</v>
      </c>
      <c r="J663" s="3">
        <f t="shared" si="10"/>
        <v>2.8125</v>
      </c>
    </row>
    <row r="664" spans="1:10" x14ac:dyDescent="0.3">
      <c r="A664" t="s">
        <v>713</v>
      </c>
      <c r="B664" t="s">
        <v>1395</v>
      </c>
      <c r="C664" t="s">
        <v>1395</v>
      </c>
      <c r="D664" t="s">
        <v>1395</v>
      </c>
      <c r="E664" t="s">
        <v>1400</v>
      </c>
      <c r="F664" t="s">
        <v>1394</v>
      </c>
      <c r="G664" t="s">
        <v>1394</v>
      </c>
      <c r="H664" t="s">
        <v>1394</v>
      </c>
      <c r="I664" t="s">
        <v>43</v>
      </c>
      <c r="J664" s="3">
        <f t="shared" si="10"/>
        <v>2.8854166666666665</v>
      </c>
    </row>
    <row r="665" spans="1:10" x14ac:dyDescent="0.3">
      <c r="A665" t="s">
        <v>714</v>
      </c>
      <c r="B665" t="s">
        <v>43</v>
      </c>
      <c r="C665" t="s">
        <v>1395</v>
      </c>
      <c r="D665" t="s">
        <v>43</v>
      </c>
      <c r="E665" t="s">
        <v>43</v>
      </c>
      <c r="F665" t="s">
        <v>1395</v>
      </c>
      <c r="G665" t="s">
        <v>1394</v>
      </c>
      <c r="H665" t="s">
        <v>1398</v>
      </c>
      <c r="I665" t="s">
        <v>1395</v>
      </c>
      <c r="J665" s="3">
        <f t="shared" si="10"/>
        <v>2.8333333333333335</v>
      </c>
    </row>
    <row r="666" spans="1:10" x14ac:dyDescent="0.3">
      <c r="A666" t="s">
        <v>715</v>
      </c>
      <c r="B666" t="s">
        <v>1393</v>
      </c>
      <c r="C666" t="s">
        <v>43</v>
      </c>
      <c r="D666" t="s">
        <v>1395</v>
      </c>
      <c r="E666" t="s">
        <v>1395</v>
      </c>
      <c r="F666" t="s">
        <v>1396</v>
      </c>
      <c r="G666" t="s">
        <v>1394</v>
      </c>
      <c r="H666" t="s">
        <v>1393</v>
      </c>
      <c r="I666" t="s">
        <v>1395</v>
      </c>
      <c r="J666" s="3">
        <f t="shared" si="10"/>
        <v>3.375</v>
      </c>
    </row>
    <row r="667" spans="1:10" x14ac:dyDescent="0.3">
      <c r="A667" t="s">
        <v>716</v>
      </c>
      <c r="B667" t="s">
        <v>1395</v>
      </c>
      <c r="C667" t="s">
        <v>1393</v>
      </c>
      <c r="D667" t="s">
        <v>1395</v>
      </c>
      <c r="E667" t="s">
        <v>1398</v>
      </c>
      <c r="F667" t="s">
        <v>1395</v>
      </c>
      <c r="G667" t="s">
        <v>1397</v>
      </c>
      <c r="H667" t="s">
        <v>1396</v>
      </c>
      <c r="I667" t="s">
        <v>1394</v>
      </c>
      <c r="J667" s="3">
        <f t="shared" si="10"/>
        <v>3.375</v>
      </c>
    </row>
    <row r="668" spans="1:10" x14ac:dyDescent="0.3">
      <c r="A668" t="s">
        <v>717</v>
      </c>
      <c r="B668" t="s">
        <v>1393</v>
      </c>
      <c r="C668" t="s">
        <v>1397</v>
      </c>
      <c r="D668" t="s">
        <v>1396</v>
      </c>
      <c r="E668" t="s">
        <v>1394</v>
      </c>
      <c r="F668" t="s">
        <v>1394</v>
      </c>
      <c r="G668" t="s">
        <v>43</v>
      </c>
      <c r="H668" t="s">
        <v>43</v>
      </c>
      <c r="I668" t="s">
        <v>1394</v>
      </c>
      <c r="J668" s="3">
        <f t="shared" si="10"/>
        <v>3.1979166666666665</v>
      </c>
    </row>
    <row r="669" spans="1:10" x14ac:dyDescent="0.3">
      <c r="A669" t="s">
        <v>718</v>
      </c>
      <c r="B669" t="s">
        <v>1396</v>
      </c>
      <c r="C669" t="s">
        <v>1396</v>
      </c>
      <c r="D669" t="s">
        <v>1395</v>
      </c>
      <c r="E669" t="s">
        <v>1393</v>
      </c>
      <c r="F669" t="s">
        <v>1395</v>
      </c>
      <c r="G669" t="s">
        <v>1397</v>
      </c>
      <c r="H669" t="s">
        <v>1396</v>
      </c>
      <c r="I669" t="s">
        <v>1396</v>
      </c>
      <c r="J669" s="3">
        <f t="shared" si="10"/>
        <v>3.1875</v>
      </c>
    </row>
    <row r="670" spans="1:10" x14ac:dyDescent="0.3">
      <c r="A670" t="s">
        <v>719</v>
      </c>
      <c r="B670" t="s">
        <v>1393</v>
      </c>
      <c r="C670" t="s">
        <v>1394</v>
      </c>
      <c r="D670" t="s">
        <v>1395</v>
      </c>
      <c r="E670" t="s">
        <v>1395</v>
      </c>
      <c r="F670" t="s">
        <v>1395</v>
      </c>
      <c r="G670" t="s">
        <v>43</v>
      </c>
      <c r="H670" t="s">
        <v>1393</v>
      </c>
      <c r="I670" t="s">
        <v>1400</v>
      </c>
      <c r="J670" s="3">
        <f t="shared" si="10"/>
        <v>2.9791666666666665</v>
      </c>
    </row>
    <row r="671" spans="1:10" x14ac:dyDescent="0.3">
      <c r="A671" t="s">
        <v>720</v>
      </c>
      <c r="B671" t="s">
        <v>1394</v>
      </c>
      <c r="C671" t="s">
        <v>43</v>
      </c>
      <c r="D671" t="s">
        <v>1394</v>
      </c>
      <c r="E671" t="s">
        <v>1396</v>
      </c>
      <c r="F671" t="s">
        <v>1395</v>
      </c>
      <c r="G671" t="s">
        <v>1393</v>
      </c>
      <c r="H671" t="s">
        <v>1398</v>
      </c>
      <c r="I671" t="s">
        <v>1398</v>
      </c>
      <c r="J671" s="3">
        <f t="shared" si="10"/>
        <v>3</v>
      </c>
    </row>
    <row r="672" spans="1:10" x14ac:dyDescent="0.3">
      <c r="A672" t="s">
        <v>721</v>
      </c>
      <c r="B672" t="s">
        <v>1394</v>
      </c>
      <c r="C672" t="s">
        <v>1398</v>
      </c>
      <c r="D672" t="s">
        <v>1396</v>
      </c>
      <c r="E672" t="s">
        <v>1400</v>
      </c>
      <c r="F672" t="s">
        <v>1393</v>
      </c>
      <c r="G672" t="s">
        <v>1395</v>
      </c>
      <c r="H672" t="s">
        <v>1394</v>
      </c>
      <c r="I672" t="s">
        <v>1396</v>
      </c>
      <c r="J672" s="3">
        <f t="shared" si="10"/>
        <v>2.8854166666666665</v>
      </c>
    </row>
    <row r="673" spans="1:10" x14ac:dyDescent="0.3">
      <c r="A673" t="s">
        <v>722</v>
      </c>
      <c r="B673" t="s">
        <v>1398</v>
      </c>
      <c r="C673" t="s">
        <v>1398</v>
      </c>
      <c r="D673" t="s">
        <v>1396</v>
      </c>
      <c r="E673" t="s">
        <v>1395</v>
      </c>
      <c r="F673" t="s">
        <v>1398</v>
      </c>
      <c r="G673" t="s">
        <v>1393</v>
      </c>
      <c r="H673" t="s">
        <v>1394</v>
      </c>
      <c r="I673" t="s">
        <v>1398</v>
      </c>
      <c r="J673" s="3">
        <f t="shared" si="10"/>
        <v>2.9479166666666665</v>
      </c>
    </row>
    <row r="674" spans="1:10" x14ac:dyDescent="0.3">
      <c r="A674" t="s">
        <v>723</v>
      </c>
      <c r="B674" t="s">
        <v>1395</v>
      </c>
      <c r="C674" t="s">
        <v>1400</v>
      </c>
      <c r="D674" t="s">
        <v>1393</v>
      </c>
      <c r="E674" t="s">
        <v>1396</v>
      </c>
      <c r="F674" t="s">
        <v>1394</v>
      </c>
      <c r="G674" t="s">
        <v>1393</v>
      </c>
      <c r="H674" t="s">
        <v>1393</v>
      </c>
      <c r="I674" t="s">
        <v>1393</v>
      </c>
      <c r="J674" s="3">
        <f t="shared" si="10"/>
        <v>3.1041666666666665</v>
      </c>
    </row>
    <row r="675" spans="1:10" x14ac:dyDescent="0.3">
      <c r="A675" t="s">
        <v>724</v>
      </c>
      <c r="B675" t="s">
        <v>1395</v>
      </c>
      <c r="C675" t="s">
        <v>1395</v>
      </c>
      <c r="D675" t="s">
        <v>1396</v>
      </c>
      <c r="E675" t="s">
        <v>1394</v>
      </c>
      <c r="F675" t="s">
        <v>1397</v>
      </c>
      <c r="G675" t="s">
        <v>1396</v>
      </c>
      <c r="H675" t="s">
        <v>1400</v>
      </c>
      <c r="I675" t="s">
        <v>1394</v>
      </c>
      <c r="J675" s="3">
        <f t="shared" si="10"/>
        <v>2.9895833333333335</v>
      </c>
    </row>
    <row r="676" spans="1:10" x14ac:dyDescent="0.3">
      <c r="A676" t="s">
        <v>725</v>
      </c>
      <c r="B676" t="s">
        <v>1396</v>
      </c>
      <c r="C676" t="s">
        <v>1396</v>
      </c>
      <c r="D676" t="s">
        <v>1395</v>
      </c>
      <c r="E676" t="s">
        <v>43</v>
      </c>
      <c r="F676" t="s">
        <v>1394</v>
      </c>
      <c r="G676" t="s">
        <v>43</v>
      </c>
      <c r="H676" t="s">
        <v>1395</v>
      </c>
      <c r="I676" t="s">
        <v>1395</v>
      </c>
      <c r="J676" s="3">
        <f t="shared" si="10"/>
        <v>3.0416666666666665</v>
      </c>
    </row>
    <row r="677" spans="1:10" x14ac:dyDescent="0.3">
      <c r="A677" t="s">
        <v>726</v>
      </c>
      <c r="B677" t="s">
        <v>1396</v>
      </c>
      <c r="C677" t="s">
        <v>1396</v>
      </c>
      <c r="D677" t="s">
        <v>1394</v>
      </c>
      <c r="E677" t="s">
        <v>1393</v>
      </c>
      <c r="F677" t="s">
        <v>1399</v>
      </c>
      <c r="G677" t="s">
        <v>1395</v>
      </c>
      <c r="H677" t="s">
        <v>1393</v>
      </c>
      <c r="I677" t="s">
        <v>1397</v>
      </c>
      <c r="J677" s="3">
        <f t="shared" si="10"/>
        <v>3.1458333333333335</v>
      </c>
    </row>
    <row r="678" spans="1:10" x14ac:dyDescent="0.3">
      <c r="A678" t="s">
        <v>727</v>
      </c>
      <c r="B678" t="s">
        <v>1396</v>
      </c>
      <c r="C678" t="s">
        <v>1395</v>
      </c>
      <c r="D678" t="s">
        <v>1395</v>
      </c>
      <c r="E678" t="s">
        <v>1398</v>
      </c>
      <c r="F678" t="s">
        <v>1395</v>
      </c>
      <c r="G678" t="s">
        <v>1395</v>
      </c>
      <c r="H678" t="s">
        <v>1399</v>
      </c>
      <c r="I678" t="s">
        <v>1395</v>
      </c>
      <c r="J678" s="3">
        <f t="shared" si="10"/>
        <v>2.9791666666666665</v>
      </c>
    </row>
    <row r="679" spans="1:10" x14ac:dyDescent="0.3">
      <c r="A679" t="s">
        <v>728</v>
      </c>
      <c r="B679" t="s">
        <v>1395</v>
      </c>
      <c r="C679" t="s">
        <v>1394</v>
      </c>
      <c r="D679" t="s">
        <v>1397</v>
      </c>
      <c r="E679" t="s">
        <v>1397</v>
      </c>
      <c r="F679" t="s">
        <v>1395</v>
      </c>
      <c r="G679" t="s">
        <v>1395</v>
      </c>
      <c r="H679" t="s">
        <v>1394</v>
      </c>
      <c r="I679" t="s">
        <v>1398</v>
      </c>
      <c r="J679" s="3">
        <f t="shared" si="10"/>
        <v>3.25</v>
      </c>
    </row>
    <row r="680" spans="1:10" x14ac:dyDescent="0.3">
      <c r="A680" t="s">
        <v>729</v>
      </c>
      <c r="B680" t="s">
        <v>1396</v>
      </c>
      <c r="C680" t="s">
        <v>1398</v>
      </c>
      <c r="D680" t="s">
        <v>1395</v>
      </c>
      <c r="E680" t="s">
        <v>1397</v>
      </c>
      <c r="F680" t="s">
        <v>1393</v>
      </c>
      <c r="G680" t="s">
        <v>1394</v>
      </c>
      <c r="H680" t="s">
        <v>1399</v>
      </c>
      <c r="I680" t="s">
        <v>1397</v>
      </c>
      <c r="J680" s="3">
        <f t="shared" si="10"/>
        <v>2.78125</v>
      </c>
    </row>
    <row r="681" spans="1:10" x14ac:dyDescent="0.3">
      <c r="A681" t="s">
        <v>730</v>
      </c>
      <c r="B681" t="s">
        <v>1397</v>
      </c>
      <c r="C681" t="s">
        <v>1396</v>
      </c>
      <c r="D681" t="s">
        <v>1396</v>
      </c>
      <c r="E681" t="s">
        <v>1394</v>
      </c>
      <c r="F681" t="s">
        <v>1394</v>
      </c>
      <c r="G681" t="s">
        <v>1397</v>
      </c>
      <c r="H681" t="s">
        <v>1397</v>
      </c>
      <c r="I681" t="s">
        <v>1394</v>
      </c>
      <c r="J681" s="3">
        <f t="shared" si="10"/>
        <v>3.1875</v>
      </c>
    </row>
    <row r="682" spans="1:10" x14ac:dyDescent="0.3">
      <c r="A682" t="s">
        <v>731</v>
      </c>
      <c r="B682" t="s">
        <v>1397</v>
      </c>
      <c r="C682" t="s">
        <v>1393</v>
      </c>
      <c r="D682" t="s">
        <v>1396</v>
      </c>
      <c r="E682" t="s">
        <v>1394</v>
      </c>
      <c r="F682" t="s">
        <v>1396</v>
      </c>
      <c r="G682" t="s">
        <v>1395</v>
      </c>
      <c r="H682" t="s">
        <v>1396</v>
      </c>
      <c r="I682" t="s">
        <v>1393</v>
      </c>
      <c r="J682" s="3">
        <f t="shared" si="10"/>
        <v>3.4270833333333335</v>
      </c>
    </row>
    <row r="683" spans="1:10" x14ac:dyDescent="0.3">
      <c r="A683" t="s">
        <v>732</v>
      </c>
      <c r="B683" t="s">
        <v>1396</v>
      </c>
      <c r="C683" t="s">
        <v>1396</v>
      </c>
      <c r="D683" t="s">
        <v>1393</v>
      </c>
      <c r="E683" t="s">
        <v>1395</v>
      </c>
      <c r="F683" t="s">
        <v>1397</v>
      </c>
      <c r="G683" t="s">
        <v>1396</v>
      </c>
      <c r="H683" t="s">
        <v>1396</v>
      </c>
      <c r="I683" t="s">
        <v>1398</v>
      </c>
      <c r="J683" s="3">
        <f t="shared" si="10"/>
        <v>3.0416666666666665</v>
      </c>
    </row>
    <row r="684" spans="1:10" x14ac:dyDescent="0.3">
      <c r="A684" t="s">
        <v>733</v>
      </c>
      <c r="B684" t="s">
        <v>1396</v>
      </c>
      <c r="C684" t="s">
        <v>1394</v>
      </c>
      <c r="D684" t="s">
        <v>1395</v>
      </c>
      <c r="E684" t="s">
        <v>1398</v>
      </c>
      <c r="F684" t="s">
        <v>1396</v>
      </c>
      <c r="G684" t="s">
        <v>1398</v>
      </c>
      <c r="H684" t="s">
        <v>1395</v>
      </c>
      <c r="I684" t="s">
        <v>1395</v>
      </c>
      <c r="J684" s="3">
        <f t="shared" si="10"/>
        <v>3.2083333333333335</v>
      </c>
    </row>
    <row r="685" spans="1:10" x14ac:dyDescent="0.3">
      <c r="A685" t="s">
        <v>734</v>
      </c>
      <c r="B685" t="s">
        <v>1399</v>
      </c>
      <c r="C685" t="s">
        <v>1398</v>
      </c>
      <c r="D685" t="s">
        <v>1397</v>
      </c>
      <c r="E685" t="s">
        <v>1393</v>
      </c>
      <c r="F685" t="s">
        <v>1396</v>
      </c>
      <c r="G685" t="s">
        <v>1393</v>
      </c>
      <c r="H685" t="s">
        <v>1399</v>
      </c>
      <c r="I685" t="s">
        <v>1400</v>
      </c>
      <c r="J685" s="3">
        <f t="shared" si="10"/>
        <v>2.0208333333333335</v>
      </c>
    </row>
    <row r="686" spans="1:10" x14ac:dyDescent="0.3">
      <c r="A686" t="s">
        <v>735</v>
      </c>
      <c r="B686" t="s">
        <v>1397</v>
      </c>
      <c r="C686" t="s">
        <v>1394</v>
      </c>
      <c r="D686" t="s">
        <v>1398</v>
      </c>
      <c r="E686" t="s">
        <v>1394</v>
      </c>
      <c r="F686" t="s">
        <v>1398</v>
      </c>
      <c r="G686" t="s">
        <v>1396</v>
      </c>
      <c r="H686" t="s">
        <v>1393</v>
      </c>
      <c r="I686" t="s">
        <v>43</v>
      </c>
      <c r="J686" s="3">
        <f t="shared" si="10"/>
        <v>3.0520833333333335</v>
      </c>
    </row>
    <row r="687" spans="1:10" x14ac:dyDescent="0.3">
      <c r="A687" t="s">
        <v>736</v>
      </c>
      <c r="B687" t="s">
        <v>1395</v>
      </c>
      <c r="C687" t="s">
        <v>1398</v>
      </c>
      <c r="D687" t="s">
        <v>1397</v>
      </c>
      <c r="E687" t="s">
        <v>1396</v>
      </c>
      <c r="F687" t="s">
        <v>43</v>
      </c>
      <c r="G687" t="s">
        <v>1394</v>
      </c>
      <c r="H687" t="s">
        <v>43</v>
      </c>
      <c r="I687" t="s">
        <v>1395</v>
      </c>
      <c r="J687" s="3">
        <f t="shared" si="10"/>
        <v>2.9166666666666665</v>
      </c>
    </row>
    <row r="688" spans="1:10" x14ac:dyDescent="0.3">
      <c r="A688" t="s">
        <v>737</v>
      </c>
      <c r="B688" t="s">
        <v>1393</v>
      </c>
      <c r="C688" t="s">
        <v>1395</v>
      </c>
      <c r="D688" t="s">
        <v>1393</v>
      </c>
      <c r="E688" t="s">
        <v>1393</v>
      </c>
      <c r="F688" t="s">
        <v>1396</v>
      </c>
      <c r="G688" t="s">
        <v>1393</v>
      </c>
      <c r="H688" t="s">
        <v>1394</v>
      </c>
      <c r="I688" t="s">
        <v>1394</v>
      </c>
      <c r="J688" s="3">
        <f t="shared" si="10"/>
        <v>3.7604166666666665</v>
      </c>
    </row>
    <row r="689" spans="1:10" x14ac:dyDescent="0.3">
      <c r="A689" t="s">
        <v>738</v>
      </c>
      <c r="B689" t="s">
        <v>1394</v>
      </c>
      <c r="C689" t="s">
        <v>43</v>
      </c>
      <c r="D689" t="s">
        <v>43</v>
      </c>
      <c r="E689" t="s">
        <v>43</v>
      </c>
      <c r="F689" t="s">
        <v>1400</v>
      </c>
      <c r="G689" t="s">
        <v>1395</v>
      </c>
      <c r="H689" t="s">
        <v>1398</v>
      </c>
      <c r="I689" t="s">
        <v>1394</v>
      </c>
      <c r="J689" s="3">
        <f t="shared" si="10"/>
        <v>2.6041666666666665</v>
      </c>
    </row>
    <row r="690" spans="1:10" x14ac:dyDescent="0.3">
      <c r="A690" t="s">
        <v>739</v>
      </c>
      <c r="B690" t="s">
        <v>43</v>
      </c>
      <c r="C690" t="s">
        <v>1398</v>
      </c>
      <c r="D690" t="s">
        <v>1397</v>
      </c>
      <c r="E690" t="s">
        <v>1394</v>
      </c>
      <c r="F690" t="s">
        <v>1393</v>
      </c>
      <c r="G690" t="s">
        <v>43</v>
      </c>
      <c r="H690" t="s">
        <v>1396</v>
      </c>
      <c r="I690" t="s">
        <v>1396</v>
      </c>
      <c r="J690" s="3">
        <f t="shared" si="10"/>
        <v>2.8229166666666665</v>
      </c>
    </row>
    <row r="691" spans="1:10" x14ac:dyDescent="0.3">
      <c r="A691" t="s">
        <v>740</v>
      </c>
      <c r="B691" t="s">
        <v>43</v>
      </c>
      <c r="C691" t="s">
        <v>1393</v>
      </c>
      <c r="D691" t="s">
        <v>1397</v>
      </c>
      <c r="E691" t="s">
        <v>1396</v>
      </c>
      <c r="F691" t="s">
        <v>1398</v>
      </c>
      <c r="G691" t="s">
        <v>1396</v>
      </c>
      <c r="H691" t="s">
        <v>1394</v>
      </c>
      <c r="I691" t="s">
        <v>1399</v>
      </c>
      <c r="J691" s="3">
        <f t="shared" si="10"/>
        <v>2.6979166666666665</v>
      </c>
    </row>
    <row r="692" spans="1:10" x14ac:dyDescent="0.3">
      <c r="A692" t="s">
        <v>741</v>
      </c>
      <c r="B692" t="s">
        <v>1394</v>
      </c>
      <c r="C692" t="s">
        <v>1397</v>
      </c>
      <c r="D692" t="s">
        <v>1398</v>
      </c>
      <c r="E692" t="s">
        <v>1394</v>
      </c>
      <c r="F692" t="s">
        <v>1397</v>
      </c>
      <c r="G692" t="s">
        <v>1395</v>
      </c>
      <c r="H692" t="s">
        <v>1394</v>
      </c>
      <c r="I692" t="s">
        <v>1394</v>
      </c>
      <c r="J692" s="3">
        <f t="shared" si="10"/>
        <v>3.375</v>
      </c>
    </row>
    <row r="693" spans="1:10" x14ac:dyDescent="0.3">
      <c r="A693" t="s">
        <v>742</v>
      </c>
      <c r="B693" t="s">
        <v>1399</v>
      </c>
      <c r="C693" t="s">
        <v>1395</v>
      </c>
      <c r="D693" t="s">
        <v>1396</v>
      </c>
      <c r="E693" t="s">
        <v>1396</v>
      </c>
      <c r="F693" t="s">
        <v>1393</v>
      </c>
      <c r="G693" t="s">
        <v>1398</v>
      </c>
      <c r="H693" t="s">
        <v>1397</v>
      </c>
      <c r="I693" t="s">
        <v>43</v>
      </c>
      <c r="J693" s="3">
        <f t="shared" si="10"/>
        <v>2.59375</v>
      </c>
    </row>
    <row r="694" spans="1:10" x14ac:dyDescent="0.3">
      <c r="A694" t="s">
        <v>743</v>
      </c>
      <c r="B694" t="s">
        <v>1395</v>
      </c>
      <c r="C694" t="s">
        <v>1394</v>
      </c>
      <c r="D694" t="s">
        <v>1395</v>
      </c>
      <c r="E694" t="s">
        <v>1397</v>
      </c>
      <c r="F694" t="s">
        <v>1397</v>
      </c>
      <c r="G694" t="s">
        <v>1395</v>
      </c>
      <c r="H694" t="s">
        <v>1396</v>
      </c>
      <c r="I694" t="s">
        <v>1394</v>
      </c>
      <c r="J694" s="3">
        <f t="shared" si="10"/>
        <v>3.3645833333333335</v>
      </c>
    </row>
    <row r="695" spans="1:10" x14ac:dyDescent="0.3">
      <c r="A695" t="s">
        <v>744</v>
      </c>
      <c r="B695" t="s">
        <v>43</v>
      </c>
      <c r="C695" t="s">
        <v>1396</v>
      </c>
      <c r="D695" t="s">
        <v>1396</v>
      </c>
      <c r="E695" t="s">
        <v>1398</v>
      </c>
      <c r="F695" t="s">
        <v>1394</v>
      </c>
      <c r="G695" t="s">
        <v>1397</v>
      </c>
      <c r="H695" t="s">
        <v>1395</v>
      </c>
      <c r="I695" t="s">
        <v>1398</v>
      </c>
      <c r="J695" s="3">
        <f t="shared" si="10"/>
        <v>2.7916666666666665</v>
      </c>
    </row>
    <row r="696" spans="1:10" x14ac:dyDescent="0.3">
      <c r="A696" t="s">
        <v>745</v>
      </c>
      <c r="B696" t="s">
        <v>1393</v>
      </c>
      <c r="C696" t="s">
        <v>1394</v>
      </c>
      <c r="D696" t="s">
        <v>1397</v>
      </c>
      <c r="E696" t="s">
        <v>1396</v>
      </c>
      <c r="F696" t="s">
        <v>1395</v>
      </c>
      <c r="G696" t="s">
        <v>1396</v>
      </c>
      <c r="H696" t="s">
        <v>1394</v>
      </c>
      <c r="I696" t="s">
        <v>1395</v>
      </c>
      <c r="J696" s="3">
        <f t="shared" si="10"/>
        <v>3.4895833333333335</v>
      </c>
    </row>
    <row r="697" spans="1:10" x14ac:dyDescent="0.3">
      <c r="A697" t="s">
        <v>746</v>
      </c>
      <c r="B697" t="s">
        <v>1393</v>
      </c>
      <c r="C697" t="s">
        <v>1398</v>
      </c>
      <c r="D697" t="s">
        <v>1394</v>
      </c>
      <c r="E697" t="s">
        <v>1398</v>
      </c>
      <c r="F697" t="s">
        <v>1396</v>
      </c>
      <c r="G697" t="s">
        <v>1396</v>
      </c>
      <c r="H697" t="s">
        <v>1396</v>
      </c>
      <c r="I697" t="s">
        <v>1393</v>
      </c>
      <c r="J697" s="3">
        <f t="shared" si="10"/>
        <v>3.25</v>
      </c>
    </row>
    <row r="698" spans="1:10" x14ac:dyDescent="0.3">
      <c r="A698" t="s">
        <v>747</v>
      </c>
      <c r="B698" t="s">
        <v>1398</v>
      </c>
      <c r="C698" t="s">
        <v>1394</v>
      </c>
      <c r="D698" t="s">
        <v>43</v>
      </c>
      <c r="E698" t="s">
        <v>1398</v>
      </c>
      <c r="F698" t="s">
        <v>1397</v>
      </c>
      <c r="G698" t="s">
        <v>1398</v>
      </c>
      <c r="H698" t="s">
        <v>1395</v>
      </c>
      <c r="I698" t="s">
        <v>1397</v>
      </c>
      <c r="J698" s="3">
        <f t="shared" si="10"/>
        <v>2.8541666666666665</v>
      </c>
    </row>
    <row r="699" spans="1:10" x14ac:dyDescent="0.3">
      <c r="A699" t="s">
        <v>748</v>
      </c>
      <c r="B699" t="s">
        <v>1399</v>
      </c>
      <c r="C699" t="s">
        <v>1394</v>
      </c>
      <c r="D699" t="s">
        <v>1393</v>
      </c>
      <c r="E699" t="s">
        <v>1395</v>
      </c>
      <c r="F699" t="s">
        <v>1396</v>
      </c>
      <c r="G699" t="s">
        <v>1393</v>
      </c>
      <c r="H699" t="s">
        <v>1394</v>
      </c>
      <c r="I699" t="s">
        <v>43</v>
      </c>
      <c r="J699" s="3">
        <f t="shared" si="10"/>
        <v>2.9479166666666665</v>
      </c>
    </row>
    <row r="700" spans="1:10" x14ac:dyDescent="0.3">
      <c r="A700" t="s">
        <v>749</v>
      </c>
      <c r="B700" t="s">
        <v>1395</v>
      </c>
      <c r="C700" t="s">
        <v>1393</v>
      </c>
      <c r="D700" t="s">
        <v>1394</v>
      </c>
      <c r="E700" t="s">
        <v>1396</v>
      </c>
      <c r="F700" t="s">
        <v>1394</v>
      </c>
      <c r="G700" t="s">
        <v>1396</v>
      </c>
      <c r="H700" t="s">
        <v>1396</v>
      </c>
      <c r="I700" t="s">
        <v>1395</v>
      </c>
      <c r="J700" s="3">
        <f t="shared" si="10"/>
        <v>3.4583333333333335</v>
      </c>
    </row>
    <row r="701" spans="1:10" x14ac:dyDescent="0.3">
      <c r="A701" t="s">
        <v>750</v>
      </c>
      <c r="B701" t="s">
        <v>1396</v>
      </c>
      <c r="C701" t="s">
        <v>1398</v>
      </c>
      <c r="D701" t="s">
        <v>1393</v>
      </c>
      <c r="E701" t="s">
        <v>43</v>
      </c>
      <c r="F701" t="s">
        <v>1394</v>
      </c>
      <c r="G701" t="s">
        <v>1393</v>
      </c>
      <c r="H701" t="s">
        <v>1398</v>
      </c>
      <c r="I701" t="s">
        <v>1396</v>
      </c>
      <c r="J701" s="3">
        <f t="shared" si="10"/>
        <v>2.9583333333333335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Data Status Pendaftar</vt:lpstr>
      <vt:lpstr>Data Mahasiswa Eligible</vt:lpstr>
      <vt:lpstr>Data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arfinadhifa3</dc:creator>
  <cp:lastModifiedBy>arfinadhifa3</cp:lastModifiedBy>
  <dcterms:created xsi:type="dcterms:W3CDTF">2026-07-01T04:47:43Z</dcterms:created>
  <dcterms:modified xsi:type="dcterms:W3CDTF">2026-07-01T08:28:20Z</dcterms:modified>
</cp:coreProperties>
</file>